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8195" windowHeight="10050"/>
  </bookViews>
  <sheets>
    <sheet name="Blad1" sheetId="1" r:id="rId1"/>
    <sheet name="Blad2" sheetId="2" r:id="rId2"/>
    <sheet name="Blad3" sheetId="3" r:id="rId3"/>
  </sheets>
  <definedNames>
    <definedName name="_xlnm._FilterDatabase" localSheetId="0" hidden="1">Blad1!$A$1:$J$543</definedName>
    <definedName name="_xlnm.Print_Titles" localSheetId="0">Blad1!$1:$1</definedName>
    <definedName name="gamewindowlist" localSheetId="0">Blad1!$A$2:$B$543</definedName>
  </definedNames>
  <calcPr calcId="145621"/>
</workbook>
</file>

<file path=xl/calcChain.xml><?xml version="1.0" encoding="utf-8"?>
<calcChain xmlns="http://schemas.openxmlformats.org/spreadsheetml/2006/main">
  <c r="D541" i="1" l="1"/>
  <c r="E541" i="1" s="1"/>
  <c r="F541" i="1" s="1"/>
  <c r="D82" i="1"/>
  <c r="E82" i="1" s="1"/>
  <c r="F82" i="1" s="1"/>
  <c r="J82" i="1" s="1"/>
  <c r="D8" i="1"/>
  <c r="D9" i="1"/>
  <c r="G9" i="1" s="1"/>
  <c r="D10" i="1"/>
  <c r="G10" i="1" s="1"/>
  <c r="D11" i="1"/>
  <c r="D12" i="1"/>
  <c r="E12" i="1" s="1"/>
  <c r="D13" i="1"/>
  <c r="D14" i="1"/>
  <c r="E14" i="1" s="1"/>
  <c r="G14" i="1"/>
  <c r="D15" i="1"/>
  <c r="E15" i="1" s="1"/>
  <c r="F15" i="1" s="1"/>
  <c r="J15" i="1" s="1"/>
  <c r="D16" i="1"/>
  <c r="D17" i="1"/>
  <c r="G17" i="1" s="1"/>
  <c r="D18" i="1"/>
  <c r="G18" i="1" s="1"/>
  <c r="D19" i="1"/>
  <c r="G19" i="1" s="1"/>
  <c r="D20" i="1"/>
  <c r="E20" i="1" s="1"/>
  <c r="D21" i="1"/>
  <c r="D22" i="1"/>
  <c r="E22" i="1" s="1"/>
  <c r="D517" i="1"/>
  <c r="E517" i="1" s="1"/>
  <c r="F517" i="1" s="1"/>
  <c r="J517" i="1" s="1"/>
  <c r="D24" i="1"/>
  <c r="G24" i="1" s="1"/>
  <c r="D25" i="1"/>
  <c r="G25" i="1" s="1"/>
  <c r="D50" i="1"/>
  <c r="G50" i="1" s="1"/>
  <c r="D27" i="1"/>
  <c r="G27" i="1" s="1"/>
  <c r="D28" i="1"/>
  <c r="E28" i="1" s="1"/>
  <c r="D29" i="1"/>
  <c r="D30" i="1"/>
  <c r="E30" i="1" s="1"/>
  <c r="D31" i="1"/>
  <c r="E31" i="1" s="1"/>
  <c r="F31" i="1" s="1"/>
  <c r="J31" i="1" s="1"/>
  <c r="D32" i="1"/>
  <c r="D33" i="1"/>
  <c r="G33" i="1" s="1"/>
  <c r="D34" i="1"/>
  <c r="G34" i="1" s="1"/>
  <c r="D35" i="1"/>
  <c r="G35" i="1" s="1"/>
  <c r="D211" i="1"/>
  <c r="E211" i="1" s="1"/>
  <c r="H211" i="1" s="1"/>
  <c r="D37" i="1"/>
  <c r="D38" i="1"/>
  <c r="E38" i="1" s="1"/>
  <c r="D39" i="1"/>
  <c r="E39" i="1" s="1"/>
  <c r="F39" i="1" s="1"/>
  <c r="J39" i="1" s="1"/>
  <c r="D40" i="1"/>
  <c r="G40" i="1" s="1"/>
  <c r="D41" i="1"/>
  <c r="G41" i="1" s="1"/>
  <c r="D42" i="1"/>
  <c r="G42" i="1" s="1"/>
  <c r="D43" i="1"/>
  <c r="G43" i="1" s="1"/>
  <c r="D44" i="1"/>
  <c r="G44" i="1" s="1"/>
  <c r="D45" i="1"/>
  <c r="D46" i="1"/>
  <c r="E46" i="1" s="1"/>
  <c r="D47" i="1"/>
  <c r="E47" i="1" s="1"/>
  <c r="D48" i="1"/>
  <c r="G48" i="1" s="1"/>
  <c r="D49" i="1"/>
  <c r="G49" i="1" s="1"/>
  <c r="D78" i="1"/>
  <c r="D51" i="1"/>
  <c r="E51" i="1" s="1"/>
  <c r="D80" i="1"/>
  <c r="G80" i="1" s="1"/>
  <c r="D53" i="1"/>
  <c r="D54" i="1"/>
  <c r="E54" i="1" s="1"/>
  <c r="D55" i="1"/>
  <c r="E55" i="1" s="1"/>
  <c r="D56" i="1"/>
  <c r="G56" i="1" s="1"/>
  <c r="D57" i="1"/>
  <c r="G57" i="1" s="1"/>
  <c r="D58" i="1"/>
  <c r="D59" i="1"/>
  <c r="D60" i="1"/>
  <c r="G60" i="1" s="1"/>
  <c r="D61" i="1"/>
  <c r="D91" i="1"/>
  <c r="E91" i="1" s="1"/>
  <c r="D93" i="1"/>
  <c r="E93" i="1" s="1"/>
  <c r="F93" i="1" s="1"/>
  <c r="J93" i="1" s="1"/>
  <c r="D64" i="1"/>
  <c r="D94" i="1"/>
  <c r="G94" i="1" s="1"/>
  <c r="D66" i="1"/>
  <c r="D67" i="1"/>
  <c r="G67" i="1" s="1"/>
  <c r="D68" i="1"/>
  <c r="G68" i="1" s="1"/>
  <c r="E68" i="1"/>
  <c r="D69" i="1"/>
  <c r="G69" i="1" s="1"/>
  <c r="D70" i="1"/>
  <c r="E70" i="1" s="1"/>
  <c r="D71" i="1"/>
  <c r="E71" i="1" s="1"/>
  <c r="H71" i="1" s="1"/>
  <c r="D72" i="1"/>
  <c r="D73" i="1"/>
  <c r="G73" i="1" s="1"/>
  <c r="D74" i="1"/>
  <c r="D75" i="1"/>
  <c r="E75" i="1" s="1"/>
  <c r="D101" i="1"/>
  <c r="E101" i="1" s="1"/>
  <c r="F101" i="1" s="1"/>
  <c r="J101" i="1" s="1"/>
  <c r="D104" i="1"/>
  <c r="D107" i="1"/>
  <c r="G107" i="1" s="1"/>
  <c r="D79" i="1"/>
  <c r="E79" i="1" s="1"/>
  <c r="D113" i="1"/>
  <c r="D114" i="1"/>
  <c r="G114" i="1" s="1"/>
  <c r="D116" i="1"/>
  <c r="D83" i="1"/>
  <c r="E83" i="1" s="1"/>
  <c r="F83" i="1" s="1"/>
  <c r="J83" i="1" s="1"/>
  <c r="D84" i="1"/>
  <c r="E84" i="1" s="1"/>
  <c r="D85" i="1"/>
  <c r="G85" i="1" s="1"/>
  <c r="D86" i="1"/>
  <c r="E86" i="1" s="1"/>
  <c r="D87" i="1"/>
  <c r="E87" i="1" s="1"/>
  <c r="F87" i="1" s="1"/>
  <c r="D119" i="1"/>
  <c r="D89" i="1"/>
  <c r="E89" i="1" s="1"/>
  <c r="D134" i="1"/>
  <c r="D135" i="1"/>
  <c r="E135" i="1" s="1"/>
  <c r="D92" i="1"/>
  <c r="E92" i="1" s="1"/>
  <c r="D62" i="1"/>
  <c r="E62" i="1" s="1"/>
  <c r="F62" i="1" s="1"/>
  <c r="D52" i="1"/>
  <c r="G52" i="1" s="1"/>
  <c r="E52" i="1"/>
  <c r="D95" i="1"/>
  <c r="E95" i="1" s="1"/>
  <c r="H95" i="1" s="1"/>
  <c r="D96" i="1"/>
  <c r="G96" i="1" s="1"/>
  <c r="D97" i="1"/>
  <c r="D138" i="1"/>
  <c r="E138" i="1" s="1"/>
  <c r="D139" i="1"/>
  <c r="G139" i="1" s="1"/>
  <c r="D100" i="1"/>
  <c r="G100" i="1" s="1"/>
  <c r="D26" i="1"/>
  <c r="D102" i="1"/>
  <c r="E102" i="1" s="1"/>
  <c r="D103" i="1"/>
  <c r="E103" i="1" s="1"/>
  <c r="D98" i="1"/>
  <c r="D105" i="1"/>
  <c r="G105" i="1" s="1"/>
  <c r="D106" i="1"/>
  <c r="D194" i="1"/>
  <c r="E194" i="1" s="1"/>
  <c r="D108" i="1"/>
  <c r="E108" i="1" s="1"/>
  <c r="H108" i="1" s="1"/>
  <c r="D109" i="1"/>
  <c r="D110" i="1"/>
  <c r="E110" i="1" s="1"/>
  <c r="D111" i="1"/>
  <c r="E111" i="1" s="1"/>
  <c r="D112" i="1"/>
  <c r="D206" i="1"/>
  <c r="G206" i="1" s="1"/>
  <c r="D362" i="1"/>
  <c r="D115" i="1"/>
  <c r="E115" i="1" s="1"/>
  <c r="F115" i="1" s="1"/>
  <c r="J115" i="1" s="1"/>
  <c r="D216" i="1"/>
  <c r="E216" i="1" s="1"/>
  <c r="D117" i="1"/>
  <c r="D217" i="1"/>
  <c r="G217" i="1" s="1"/>
  <c r="D218" i="1"/>
  <c r="G218" i="1" s="1"/>
  <c r="D219" i="1"/>
  <c r="G219" i="1" s="1"/>
  <c r="D121" i="1"/>
  <c r="E121" i="1" s="1"/>
  <c r="F121" i="1" s="1"/>
  <c r="J121" i="1" s="1"/>
  <c r="D122" i="1"/>
  <c r="G122" i="1" s="1"/>
  <c r="D123" i="1"/>
  <c r="G123" i="1" s="1"/>
  <c r="D124" i="1"/>
  <c r="G124" i="1" s="1"/>
  <c r="D125" i="1"/>
  <c r="D126" i="1"/>
  <c r="E126" i="1" s="1"/>
  <c r="F126" i="1" s="1"/>
  <c r="J126" i="1" s="1"/>
  <c r="D127" i="1"/>
  <c r="D128" i="1"/>
  <c r="G128" i="1" s="1"/>
  <c r="D129" i="1"/>
  <c r="E129" i="1" s="1"/>
  <c r="D130" i="1"/>
  <c r="D131" i="1"/>
  <c r="G131" i="1" s="1"/>
  <c r="D132" i="1"/>
  <c r="D133" i="1"/>
  <c r="G133" i="1" s="1"/>
  <c r="E133" i="1"/>
  <c r="D118" i="1"/>
  <c r="E118" i="1" s="1"/>
  <c r="D257" i="1"/>
  <c r="E257" i="1" s="1"/>
  <c r="F257" i="1" s="1"/>
  <c r="D136" i="1"/>
  <c r="G136" i="1" s="1"/>
  <c r="D137" i="1"/>
  <c r="E137" i="1" s="1"/>
  <c r="F137" i="1" s="1"/>
  <c r="J137" i="1" s="1"/>
  <c r="D304" i="1"/>
  <c r="G304" i="1" s="1"/>
  <c r="D142" i="1"/>
  <c r="G142" i="1" s="1"/>
  <c r="D140" i="1"/>
  <c r="G140" i="1" s="1"/>
  <c r="D141" i="1"/>
  <c r="D259" i="1"/>
  <c r="D143" i="1"/>
  <c r="D144" i="1"/>
  <c r="D120" i="1"/>
  <c r="G120" i="1" s="1"/>
  <c r="D146" i="1"/>
  <c r="G146" i="1" s="1"/>
  <c r="D147" i="1"/>
  <c r="G147" i="1" s="1"/>
  <c r="D148" i="1"/>
  <c r="D149" i="1"/>
  <c r="D150" i="1"/>
  <c r="D151" i="1"/>
  <c r="D152" i="1"/>
  <c r="D153" i="1"/>
  <c r="E153" i="1" s="1"/>
  <c r="D154" i="1"/>
  <c r="D155" i="1"/>
  <c r="G155" i="1" s="1"/>
  <c r="D156" i="1"/>
  <c r="D157" i="1"/>
  <c r="D158" i="1"/>
  <c r="D159" i="1"/>
  <c r="D160" i="1"/>
  <c r="D285" i="1"/>
  <c r="G285" i="1" s="1"/>
  <c r="D162" i="1"/>
  <c r="G162" i="1" s="1"/>
  <c r="D163" i="1"/>
  <c r="G163" i="1" s="1"/>
  <c r="D164" i="1"/>
  <c r="D165" i="1"/>
  <c r="D166" i="1"/>
  <c r="D167" i="1"/>
  <c r="D168" i="1"/>
  <c r="D169" i="1"/>
  <c r="E169" i="1" s="1"/>
  <c r="D170" i="1"/>
  <c r="D171" i="1"/>
  <c r="G171" i="1" s="1"/>
  <c r="D172" i="1"/>
  <c r="D173" i="1"/>
  <c r="D174" i="1"/>
  <c r="D175" i="1"/>
  <c r="D176" i="1"/>
  <c r="D177" i="1"/>
  <c r="E177" i="1" s="1"/>
  <c r="D178" i="1"/>
  <c r="G178" i="1" s="1"/>
  <c r="D179" i="1"/>
  <c r="D180" i="1"/>
  <c r="G180" i="1" s="1"/>
  <c r="D181" i="1"/>
  <c r="D182" i="1"/>
  <c r="E182" i="1" s="1"/>
  <c r="D183" i="1"/>
  <c r="D184" i="1"/>
  <c r="D185" i="1"/>
  <c r="D186" i="1"/>
  <c r="G186" i="1" s="1"/>
  <c r="D187" i="1"/>
  <c r="G187" i="1" s="1"/>
  <c r="D188" i="1"/>
  <c r="E188" i="1" s="1"/>
  <c r="D189" i="1"/>
  <c r="D190" i="1"/>
  <c r="G190" i="1" s="1"/>
  <c r="D191" i="1"/>
  <c r="D192" i="1"/>
  <c r="E192" i="1" s="1"/>
  <c r="D193" i="1"/>
  <c r="D316" i="1"/>
  <c r="G316" i="1" s="1"/>
  <c r="D195" i="1"/>
  <c r="D196" i="1"/>
  <c r="D197" i="1"/>
  <c r="D319" i="1"/>
  <c r="E319" i="1" s="1"/>
  <c r="F319" i="1" s="1"/>
  <c r="J319" i="1" s="1"/>
  <c r="D199" i="1"/>
  <c r="D200" i="1"/>
  <c r="D201" i="1"/>
  <c r="D202" i="1"/>
  <c r="G202" i="1" s="1"/>
  <c r="D203" i="1"/>
  <c r="D204" i="1"/>
  <c r="G204" i="1" s="1"/>
  <c r="D205" i="1"/>
  <c r="D538" i="1"/>
  <c r="G538" i="1" s="1"/>
  <c r="D207" i="1"/>
  <c r="G207" i="1" s="1"/>
  <c r="D208" i="1"/>
  <c r="E208" i="1" s="1"/>
  <c r="D209" i="1"/>
  <c r="G209" i="1" s="1"/>
  <c r="D210" i="1"/>
  <c r="G210" i="1" s="1"/>
  <c r="D332" i="1"/>
  <c r="E332" i="1" s="1"/>
  <c r="F332" i="1" s="1"/>
  <c r="D212" i="1"/>
  <c r="G212" i="1" s="1"/>
  <c r="D213" i="1"/>
  <c r="G213" i="1" s="1"/>
  <c r="D214" i="1"/>
  <c r="E214" i="1" s="1"/>
  <c r="D215" i="1"/>
  <c r="G215" i="1" s="1"/>
  <c r="D334" i="1"/>
  <c r="E334" i="1" s="1"/>
  <c r="D335" i="1"/>
  <c r="E335" i="1" s="1"/>
  <c r="F335" i="1" s="1"/>
  <c r="J335" i="1" s="1"/>
  <c r="D336" i="1"/>
  <c r="G336" i="1" s="1"/>
  <c r="D341" i="1"/>
  <c r="G341" i="1" s="1"/>
  <c r="D220" i="1"/>
  <c r="G220" i="1" s="1"/>
  <c r="D221" i="1"/>
  <c r="D222" i="1"/>
  <c r="E222" i="1" s="1"/>
  <c r="F222" i="1" s="1"/>
  <c r="J222" i="1" s="1"/>
  <c r="D223" i="1"/>
  <c r="G223" i="1" s="1"/>
  <c r="D224" i="1"/>
  <c r="D225" i="1"/>
  <c r="G225" i="1" s="1"/>
  <c r="D226" i="1"/>
  <c r="E226" i="1" s="1"/>
  <c r="F226" i="1" s="1"/>
  <c r="J226" i="1" s="1"/>
  <c r="D227" i="1"/>
  <c r="G227" i="1" s="1"/>
  <c r="D228" i="1"/>
  <c r="G228" i="1" s="1"/>
  <c r="D229" i="1"/>
  <c r="G229" i="1" s="1"/>
  <c r="D230" i="1"/>
  <c r="E230" i="1" s="1"/>
  <c r="F230" i="1" s="1"/>
  <c r="J230" i="1" s="1"/>
  <c r="D231" i="1"/>
  <c r="D232" i="1"/>
  <c r="G232" i="1" s="1"/>
  <c r="D233" i="1"/>
  <c r="D352" i="1"/>
  <c r="E352" i="1" s="1"/>
  <c r="F352" i="1" s="1"/>
  <c r="J352" i="1" s="1"/>
  <c r="D235" i="1"/>
  <c r="G235" i="1" s="1"/>
  <c r="D236" i="1"/>
  <c r="G236" i="1" s="1"/>
  <c r="D237" i="1"/>
  <c r="E237" i="1" s="1"/>
  <c r="D238" i="1"/>
  <c r="D239" i="1"/>
  <c r="G239" i="1" s="1"/>
  <c r="D240" i="1"/>
  <c r="G240" i="1" s="1"/>
  <c r="D241" i="1"/>
  <c r="G241" i="1" s="1"/>
  <c r="D242" i="1"/>
  <c r="E242" i="1" s="1"/>
  <c r="F242" i="1" s="1"/>
  <c r="J242" i="1" s="1"/>
  <c r="D243" i="1"/>
  <c r="G243" i="1" s="1"/>
  <c r="D244" i="1"/>
  <c r="E244" i="1" s="1"/>
  <c r="D245" i="1"/>
  <c r="G245" i="1" s="1"/>
  <c r="E245" i="1"/>
  <c r="D246" i="1"/>
  <c r="E246" i="1" s="1"/>
  <c r="F246" i="1" s="1"/>
  <c r="J246" i="1" s="1"/>
  <c r="D247" i="1"/>
  <c r="G247" i="1" s="1"/>
  <c r="D248" i="1"/>
  <c r="G248" i="1" s="1"/>
  <c r="D249" i="1"/>
  <c r="G249" i="1" s="1"/>
  <c r="E249" i="1"/>
  <c r="D250" i="1"/>
  <c r="D251" i="1"/>
  <c r="G251" i="1" s="1"/>
  <c r="D252" i="1"/>
  <c r="G252" i="1" s="1"/>
  <c r="D253" i="1"/>
  <c r="D254" i="1"/>
  <c r="E254" i="1" s="1"/>
  <c r="F254" i="1" s="1"/>
  <c r="J254" i="1" s="1"/>
  <c r="D255" i="1"/>
  <c r="G255" i="1" s="1"/>
  <c r="D256" i="1"/>
  <c r="D198" i="1"/>
  <c r="D258" i="1"/>
  <c r="E258" i="1" s="1"/>
  <c r="F258" i="1" s="1"/>
  <c r="J258" i="1" s="1"/>
  <c r="D447" i="1"/>
  <c r="G447" i="1" s="1"/>
  <c r="D260" i="1"/>
  <c r="D261" i="1"/>
  <c r="E261" i="1" s="1"/>
  <c r="D262" i="1"/>
  <c r="E262" i="1" s="1"/>
  <c r="F262" i="1" s="1"/>
  <c r="J262" i="1" s="1"/>
  <c r="D263" i="1"/>
  <c r="D264" i="1"/>
  <c r="G264" i="1" s="1"/>
  <c r="D265" i="1"/>
  <c r="D266" i="1"/>
  <c r="D90" i="1"/>
  <c r="G90" i="1" s="1"/>
  <c r="D268" i="1"/>
  <c r="G268" i="1" s="1"/>
  <c r="D269" i="1"/>
  <c r="E269" i="1" s="1"/>
  <c r="D270" i="1"/>
  <c r="D271" i="1"/>
  <c r="G271" i="1" s="1"/>
  <c r="D272" i="1"/>
  <c r="G272" i="1" s="1"/>
  <c r="D273" i="1"/>
  <c r="G273" i="1" s="1"/>
  <c r="D274" i="1"/>
  <c r="E274" i="1" s="1"/>
  <c r="F274" i="1"/>
  <c r="J274" i="1" s="1"/>
  <c r="D275" i="1"/>
  <c r="G275" i="1" s="1"/>
  <c r="D276" i="1"/>
  <c r="E276" i="1" s="1"/>
  <c r="D277" i="1"/>
  <c r="G277" i="1" s="1"/>
  <c r="D278" i="1"/>
  <c r="E278" i="1" s="1"/>
  <c r="F278" i="1" s="1"/>
  <c r="J278" i="1" s="1"/>
  <c r="D279" i="1"/>
  <c r="G279" i="1" s="1"/>
  <c r="D77" i="1"/>
  <c r="G77" i="1" s="1"/>
  <c r="D281" i="1"/>
  <c r="E281" i="1" s="1"/>
  <c r="D282" i="1"/>
  <c r="D283" i="1"/>
  <c r="G283" i="1" s="1"/>
  <c r="D284" i="1"/>
  <c r="G284" i="1" s="1"/>
  <c r="D363" i="1"/>
  <c r="D286" i="1"/>
  <c r="D287" i="1"/>
  <c r="G287" i="1" s="1"/>
  <c r="D288" i="1"/>
  <c r="D289" i="1"/>
  <c r="D290" i="1"/>
  <c r="E290" i="1" s="1"/>
  <c r="F290" i="1" s="1"/>
  <c r="J290" i="1" s="1"/>
  <c r="D291" i="1"/>
  <c r="G291" i="1" s="1"/>
  <c r="D292" i="1"/>
  <c r="D367" i="1"/>
  <c r="E367" i="1" s="1"/>
  <c r="D294" i="1"/>
  <c r="E294" i="1" s="1"/>
  <c r="F294" i="1" s="1"/>
  <c r="J294" i="1" s="1"/>
  <c r="D295" i="1"/>
  <c r="D296" i="1"/>
  <c r="G296" i="1" s="1"/>
  <c r="D88" i="1"/>
  <c r="D298" i="1"/>
  <c r="D299" i="1"/>
  <c r="G299" i="1" s="1"/>
  <c r="D342" i="1"/>
  <c r="G342" i="1" s="1"/>
  <c r="D301" i="1"/>
  <c r="G301" i="1" s="1"/>
  <c r="D302" i="1"/>
  <c r="D303" i="1"/>
  <c r="E303" i="1" s="1"/>
  <c r="D309" i="1"/>
  <c r="G309" i="1" s="1"/>
  <c r="D305" i="1"/>
  <c r="D306" i="1"/>
  <c r="D145" i="1"/>
  <c r="E145" i="1" s="1"/>
  <c r="F145" i="1" s="1"/>
  <c r="J145" i="1" s="1"/>
  <c r="D308" i="1"/>
  <c r="G308" i="1" s="1"/>
  <c r="D453" i="1"/>
  <c r="G453" i="1" s="1"/>
  <c r="D310" i="1"/>
  <c r="E310" i="1" s="1"/>
  <c r="F310" i="1" s="1"/>
  <c r="J310" i="1" s="1"/>
  <c r="D311" i="1"/>
  <c r="D312" i="1"/>
  <c r="D313" i="1"/>
  <c r="E313" i="1" s="1"/>
  <c r="D314" i="1"/>
  <c r="D315" i="1"/>
  <c r="G315" i="1" s="1"/>
  <c r="D470" i="1"/>
  <c r="D317" i="1"/>
  <c r="D318" i="1"/>
  <c r="D387" i="1"/>
  <c r="G387" i="1" s="1"/>
  <c r="D320" i="1"/>
  <c r="D321" i="1"/>
  <c r="G321" i="1" s="1"/>
  <c r="D322" i="1"/>
  <c r="D323" i="1"/>
  <c r="D324" i="1"/>
  <c r="D325" i="1"/>
  <c r="G325" i="1" s="1"/>
  <c r="D326" i="1"/>
  <c r="G326" i="1" s="1"/>
  <c r="D327" i="1"/>
  <c r="G327" i="1" s="1"/>
  <c r="D328" i="1"/>
  <c r="D329" i="1"/>
  <c r="G329" i="1" s="1"/>
  <c r="D330" i="1"/>
  <c r="G330" i="1" s="1"/>
  <c r="D331" i="1"/>
  <c r="G331" i="1" s="1"/>
  <c r="D403" i="1"/>
  <c r="D333" i="1"/>
  <c r="D63" i="1"/>
  <c r="G63" i="1" s="1"/>
  <c r="D65" i="1"/>
  <c r="D76" i="1"/>
  <c r="D337" i="1"/>
  <c r="D338" i="1"/>
  <c r="G338" i="1" s="1"/>
  <c r="D339" i="1"/>
  <c r="D340" i="1"/>
  <c r="D7" i="1"/>
  <c r="E7" i="1" s="1"/>
  <c r="F7" i="1" s="1"/>
  <c r="J7" i="1" s="1"/>
  <c r="D531" i="1"/>
  <c r="G531" i="1" s="1"/>
  <c r="D343" i="1"/>
  <c r="G343" i="1" s="1"/>
  <c r="D423" i="1"/>
  <c r="D345" i="1"/>
  <c r="G345" i="1" s="1"/>
  <c r="D346" i="1"/>
  <c r="G346" i="1" s="1"/>
  <c r="D347" i="1"/>
  <c r="E347" i="1" s="1"/>
  <c r="D348" i="1"/>
  <c r="D349" i="1"/>
  <c r="D350" i="1"/>
  <c r="G350" i="1" s="1"/>
  <c r="D351" i="1"/>
  <c r="G351" i="1" s="1"/>
  <c r="D434" i="1"/>
  <c r="D440" i="1"/>
  <c r="G440" i="1" s="1"/>
  <c r="D354" i="1"/>
  <c r="G354" i="1" s="1"/>
  <c r="D355" i="1"/>
  <c r="E355" i="1" s="1"/>
  <c r="D356" i="1"/>
  <c r="D357" i="1"/>
  <c r="E357" i="1" s="1"/>
  <c r="H357" i="1" s="1"/>
  <c r="D358" i="1"/>
  <c r="G358" i="1" s="1"/>
  <c r="D359" i="1"/>
  <c r="D360" i="1"/>
  <c r="D361" i="1"/>
  <c r="E361" i="1" s="1"/>
  <c r="D460" i="1"/>
  <c r="G460" i="1" s="1"/>
  <c r="D462" i="1"/>
  <c r="E462" i="1" s="1"/>
  <c r="D465" i="1"/>
  <c r="D365" i="1"/>
  <c r="D366" i="1"/>
  <c r="G366" i="1" s="1"/>
  <c r="D293" i="1"/>
  <c r="G293" i="1" s="1"/>
  <c r="D368" i="1"/>
  <c r="D369" i="1"/>
  <c r="E369" i="1" s="1"/>
  <c r="F369" i="1" s="1"/>
  <c r="I369" i="1" s="1"/>
  <c r="G369" i="1"/>
  <c r="D370" i="1"/>
  <c r="G370" i="1" s="1"/>
  <c r="D371" i="1"/>
  <c r="E371" i="1" s="1"/>
  <c r="H371" i="1" s="1"/>
  <c r="D372" i="1"/>
  <c r="D373" i="1"/>
  <c r="E373" i="1" s="1"/>
  <c r="D374" i="1"/>
  <c r="D375" i="1"/>
  <c r="D376" i="1"/>
  <c r="D377" i="1"/>
  <c r="G377" i="1" s="1"/>
  <c r="D378" i="1"/>
  <c r="E378" i="1" s="1"/>
  <c r="D379" i="1"/>
  <c r="E379" i="1" s="1"/>
  <c r="H379" i="1" s="1"/>
  <c r="D380" i="1"/>
  <c r="E380" i="1" s="1"/>
  <c r="D381" i="1"/>
  <c r="E381" i="1" s="1"/>
  <c r="F381" i="1" s="1"/>
  <c r="J381" i="1" s="1"/>
  <c r="D382" i="1"/>
  <c r="G382" i="1" s="1"/>
  <c r="D480" i="1"/>
  <c r="G480" i="1" s="1"/>
  <c r="D384" i="1"/>
  <c r="D385" i="1"/>
  <c r="G385" i="1" s="1"/>
  <c r="D386" i="1"/>
  <c r="D81" i="1"/>
  <c r="G81" i="1" s="1"/>
  <c r="D501" i="1"/>
  <c r="D388" i="1"/>
  <c r="D390" i="1"/>
  <c r="G390" i="1" s="1"/>
  <c r="D391" i="1"/>
  <c r="G391" i="1" s="1"/>
  <c r="D392" i="1"/>
  <c r="D487" i="1"/>
  <c r="E487" i="1" s="1"/>
  <c r="D394" i="1"/>
  <c r="G394" i="1" s="1"/>
  <c r="D395" i="1"/>
  <c r="E395" i="1" s="1"/>
  <c r="H395" i="1" s="1"/>
  <c r="D396" i="1"/>
  <c r="E396" i="1" s="1"/>
  <c r="F396" i="1" s="1"/>
  <c r="J396" i="1" s="1"/>
  <c r="D397" i="1"/>
  <c r="D398" i="1"/>
  <c r="G398" i="1" s="1"/>
  <c r="D399" i="1"/>
  <c r="E399" i="1" s="1"/>
  <c r="F399" i="1" s="1"/>
  <c r="J399" i="1" s="1"/>
  <c r="D400" i="1"/>
  <c r="D401" i="1"/>
  <c r="G401" i="1" s="1"/>
  <c r="D402" i="1"/>
  <c r="G402" i="1" s="1"/>
  <c r="D511" i="1"/>
  <c r="G511" i="1" s="1"/>
  <c r="D353" i="1"/>
  <c r="D405" i="1"/>
  <c r="E405" i="1" s="1"/>
  <c r="D406" i="1"/>
  <c r="G406" i="1" s="1"/>
  <c r="D407" i="1"/>
  <c r="G407" i="1" s="1"/>
  <c r="E407" i="1"/>
  <c r="F407" i="1" s="1"/>
  <c r="J407" i="1" s="1"/>
  <c r="D408" i="1"/>
  <c r="E408" i="1" s="1"/>
  <c r="F408" i="1"/>
  <c r="J408" i="1" s="1"/>
  <c r="H408" i="1"/>
  <c r="D409" i="1"/>
  <c r="E409" i="1" s="1"/>
  <c r="D410" i="1"/>
  <c r="D411" i="1"/>
  <c r="E411" i="1" s="1"/>
  <c r="H411" i="1" s="1"/>
  <c r="D412" i="1"/>
  <c r="E412" i="1" s="1"/>
  <c r="D413" i="1"/>
  <c r="E413" i="1" s="1"/>
  <c r="D414" i="1"/>
  <c r="G414" i="1" s="1"/>
  <c r="D415" i="1"/>
  <c r="E415" i="1" s="1"/>
  <c r="D416" i="1"/>
  <c r="D417" i="1"/>
  <c r="E417" i="1" s="1"/>
  <c r="D418" i="1"/>
  <c r="E418" i="1" s="1"/>
  <c r="D419" i="1"/>
  <c r="E419" i="1" s="1"/>
  <c r="F419" i="1" s="1"/>
  <c r="D420" i="1"/>
  <c r="E420" i="1" s="1"/>
  <c r="D421" i="1"/>
  <c r="G421" i="1" s="1"/>
  <c r="D422" i="1"/>
  <c r="G422" i="1" s="1"/>
  <c r="D523" i="1"/>
  <c r="G523" i="1" s="1"/>
  <c r="D424" i="1"/>
  <c r="D425" i="1"/>
  <c r="E425" i="1" s="1"/>
  <c r="D426" i="1"/>
  <c r="E426" i="1" s="1"/>
  <c r="D427" i="1"/>
  <c r="E427" i="1" s="1"/>
  <c r="F427" i="1" s="1"/>
  <c r="D428" i="1"/>
  <c r="E428" i="1" s="1"/>
  <c r="D429" i="1"/>
  <c r="G429" i="1" s="1"/>
  <c r="D430" i="1"/>
  <c r="G430" i="1" s="1"/>
  <c r="D431" i="1"/>
  <c r="D432" i="1"/>
  <c r="D433" i="1"/>
  <c r="E433" i="1" s="1"/>
  <c r="D537" i="1"/>
  <c r="E537" i="1" s="1"/>
  <c r="D435" i="1"/>
  <c r="G435" i="1" s="1"/>
  <c r="E435" i="1"/>
  <c r="F435" i="1" s="1"/>
  <c r="D436" i="1"/>
  <c r="E436" i="1" s="1"/>
  <c r="D437" i="1"/>
  <c r="E437" i="1" s="1"/>
  <c r="F437" i="1" s="1"/>
  <c r="D438" i="1"/>
  <c r="G438" i="1" s="1"/>
  <c r="D439" i="1"/>
  <c r="E439" i="1" s="1"/>
  <c r="D542" i="1"/>
  <c r="D441" i="1"/>
  <c r="E441" i="1" s="1"/>
  <c r="D442" i="1"/>
  <c r="E442" i="1" s="1"/>
  <c r="D443" i="1"/>
  <c r="G443" i="1" s="1"/>
  <c r="D444" i="1"/>
  <c r="E444" i="1" s="1"/>
  <c r="D445" i="1"/>
  <c r="E445" i="1" s="1"/>
  <c r="F445" i="1" s="1"/>
  <c r="D446" i="1"/>
  <c r="G446" i="1" s="1"/>
  <c r="D23" i="1"/>
  <c r="E23" i="1" s="1"/>
  <c r="D448" i="1"/>
  <c r="D449" i="1"/>
  <c r="E449" i="1" s="1"/>
  <c r="D450" i="1"/>
  <c r="E450" i="1" s="1"/>
  <c r="D451" i="1"/>
  <c r="G451" i="1" s="1"/>
  <c r="D452" i="1"/>
  <c r="E452" i="1" s="1"/>
  <c r="D468" i="1"/>
  <c r="E468" i="1" s="1"/>
  <c r="F468" i="1" s="1"/>
  <c r="D454" i="1"/>
  <c r="G454" i="1" s="1"/>
  <c r="D455" i="1"/>
  <c r="E455" i="1" s="1"/>
  <c r="D456" i="1"/>
  <c r="D457" i="1"/>
  <c r="E457" i="1" s="1"/>
  <c r="D458" i="1"/>
  <c r="E458" i="1" s="1"/>
  <c r="D459" i="1"/>
  <c r="G459" i="1" s="1"/>
  <c r="D234" i="1"/>
  <c r="E234" i="1" s="1"/>
  <c r="D461" i="1"/>
  <c r="E461" i="1" s="1"/>
  <c r="F461" i="1" s="1"/>
  <c r="D307" i="1"/>
  <c r="G307" i="1" s="1"/>
  <c r="D463" i="1"/>
  <c r="E463" i="1" s="1"/>
  <c r="D464" i="1"/>
  <c r="D161" i="1"/>
  <c r="E161" i="1" s="1"/>
  <c r="D466" i="1"/>
  <c r="E466" i="1" s="1"/>
  <c r="D467" i="1"/>
  <c r="G467" i="1" s="1"/>
  <c r="D500" i="1"/>
  <c r="E500" i="1" s="1"/>
  <c r="D469" i="1"/>
  <c r="E469" i="1" s="1"/>
  <c r="F469" i="1" s="1"/>
  <c r="D404" i="1"/>
  <c r="G404" i="1" s="1"/>
  <c r="D471" i="1"/>
  <c r="E471" i="1" s="1"/>
  <c r="D472" i="1"/>
  <c r="D473" i="1"/>
  <c r="E473" i="1" s="1"/>
  <c r="D474" i="1"/>
  <c r="E474" i="1" s="1"/>
  <c r="D475" i="1"/>
  <c r="G475" i="1" s="1"/>
  <c r="D476" i="1"/>
  <c r="E476" i="1" s="1"/>
  <c r="D477" i="1"/>
  <c r="E477" i="1" s="1"/>
  <c r="F477" i="1" s="1"/>
  <c r="D478" i="1"/>
  <c r="G478" i="1" s="1"/>
  <c r="D479" i="1"/>
  <c r="E479" i="1" s="1"/>
  <c r="D509" i="1"/>
  <c r="D481" i="1"/>
  <c r="E481" i="1" s="1"/>
  <c r="D482" i="1"/>
  <c r="E482" i="1" s="1"/>
  <c r="D483" i="1"/>
  <c r="G483" i="1" s="1"/>
  <c r="D484" i="1"/>
  <c r="E484" i="1" s="1"/>
  <c r="D485" i="1"/>
  <c r="E485" i="1" s="1"/>
  <c r="F485" i="1" s="1"/>
  <c r="D486" i="1"/>
  <c r="G486" i="1" s="1"/>
  <c r="D393" i="1"/>
  <c r="E393" i="1" s="1"/>
  <c r="F393" i="1" s="1"/>
  <c r="J393" i="1" s="1"/>
  <c r="D488" i="1"/>
  <c r="E488" i="1" s="1"/>
  <c r="D489" i="1"/>
  <c r="E489" i="1" s="1"/>
  <c r="F489" i="1" s="1"/>
  <c r="J489" i="1" s="1"/>
  <c r="D490" i="1"/>
  <c r="E490" i="1" s="1"/>
  <c r="D491" i="1"/>
  <c r="G491" i="1" s="1"/>
  <c r="D492" i="1"/>
  <c r="E492" i="1" s="1"/>
  <c r="D493" i="1"/>
  <c r="E493" i="1" s="1"/>
  <c r="F493" i="1" s="1"/>
  <c r="D494" i="1"/>
  <c r="D495" i="1"/>
  <c r="E495" i="1" s="1"/>
  <c r="D496" i="1"/>
  <c r="D497" i="1"/>
  <c r="E497" i="1" s="1"/>
  <c r="D498" i="1"/>
  <c r="E498" i="1" s="1"/>
  <c r="D499" i="1"/>
  <c r="G499" i="1" s="1"/>
  <c r="D267" i="1"/>
  <c r="E267" i="1" s="1"/>
  <c r="D280" i="1"/>
  <c r="E280" i="1" s="1"/>
  <c r="F280" i="1" s="1"/>
  <c r="D502" i="1"/>
  <c r="D503" i="1"/>
  <c r="E503" i="1" s="1"/>
  <c r="F503" i="1" s="1"/>
  <c r="J503" i="1" s="1"/>
  <c r="D504" i="1"/>
  <c r="E504" i="1" s="1"/>
  <c r="D505" i="1"/>
  <c r="E505" i="1" s="1"/>
  <c r="F505" i="1" s="1"/>
  <c r="J505" i="1" s="1"/>
  <c r="D506" i="1"/>
  <c r="E506" i="1" s="1"/>
  <c r="D507" i="1"/>
  <c r="G507" i="1" s="1"/>
  <c r="D508" i="1"/>
  <c r="E508" i="1" s="1"/>
  <c r="D99" i="1"/>
  <c r="E99" i="1" s="1"/>
  <c r="F99" i="1" s="1"/>
  <c r="D510" i="1"/>
  <c r="G510" i="1" s="1"/>
  <c r="D514" i="1"/>
  <c r="E514" i="1" s="1"/>
  <c r="F514" i="1" s="1"/>
  <c r="J514" i="1" s="1"/>
  <c r="D512" i="1"/>
  <c r="D513" i="1"/>
  <c r="E513" i="1" s="1"/>
  <c r="D36" i="1"/>
  <c r="E36" i="1" s="1"/>
  <c r="D515" i="1"/>
  <c r="G515" i="1" s="1"/>
  <c r="D516" i="1"/>
  <c r="E516" i="1" s="1"/>
  <c r="D389" i="1"/>
  <c r="E389" i="1" s="1"/>
  <c r="F389" i="1" s="1"/>
  <c r="D518" i="1"/>
  <c r="G518" i="1" s="1"/>
  <c r="D519" i="1"/>
  <c r="E519" i="1" s="1"/>
  <c r="D520" i="1"/>
  <c r="E520" i="1" s="1"/>
  <c r="D521" i="1"/>
  <c r="E521" i="1" s="1"/>
  <c r="F521" i="1" s="1"/>
  <c r="J521" i="1" s="1"/>
  <c r="D522" i="1"/>
  <c r="E522" i="1" s="1"/>
  <c r="D344" i="1"/>
  <c r="G344" i="1" s="1"/>
  <c r="D524" i="1"/>
  <c r="E524" i="1" s="1"/>
  <c r="D525" i="1"/>
  <c r="E525" i="1" s="1"/>
  <c r="F525" i="1" s="1"/>
  <c r="D526" i="1"/>
  <c r="G526" i="1" s="1"/>
  <c r="D527" i="1"/>
  <c r="E527" i="1" s="1"/>
  <c r="F527" i="1" s="1"/>
  <c r="J527" i="1" s="1"/>
  <c r="D528" i="1"/>
  <c r="D529" i="1"/>
  <c r="E529" i="1" s="1"/>
  <c r="D530" i="1"/>
  <c r="E530" i="1" s="1"/>
  <c r="D539" i="1"/>
  <c r="G539" i="1" s="1"/>
  <c r="D532" i="1"/>
  <c r="E532" i="1" s="1"/>
  <c r="D533" i="1"/>
  <c r="E533" i="1" s="1"/>
  <c r="F533" i="1" s="1"/>
  <c r="D534" i="1"/>
  <c r="G534" i="1" s="1"/>
  <c r="D535" i="1"/>
  <c r="E535" i="1"/>
  <c r="F535" i="1" s="1"/>
  <c r="J535" i="1" s="1"/>
  <c r="D536" i="1"/>
  <c r="E536" i="1" s="1"/>
  <c r="D297" i="1"/>
  <c r="E297" i="1" s="1"/>
  <c r="F297" i="1" s="1"/>
  <c r="J297" i="1" s="1"/>
  <c r="D300" i="1"/>
  <c r="E300" i="1" s="1"/>
  <c r="D383" i="1"/>
  <c r="G383" i="1" s="1"/>
  <c r="D540" i="1"/>
  <c r="E540" i="1" s="1"/>
  <c r="D364" i="1"/>
  <c r="G364" i="1" s="1"/>
  <c r="D543" i="1"/>
  <c r="G543" i="1" s="1"/>
  <c r="E543" i="1"/>
  <c r="F543" i="1" s="1"/>
  <c r="J543" i="1" s="1"/>
  <c r="D3" i="1"/>
  <c r="G3" i="1" s="1"/>
  <c r="D4" i="1"/>
  <c r="G4" i="1" s="1"/>
  <c r="D5" i="1"/>
  <c r="E5" i="1" s="1"/>
  <c r="F5" i="1" s="1"/>
  <c r="J5" i="1" s="1"/>
  <c r="D6" i="1"/>
  <c r="G6" i="1" s="1"/>
  <c r="D2" i="1"/>
  <c r="E2" i="1" s="1"/>
  <c r="C2" i="1"/>
  <c r="C3" i="1"/>
  <c r="C4" i="1"/>
  <c r="C5" i="1"/>
  <c r="C6" i="1"/>
  <c r="C8" i="1"/>
  <c r="C9" i="1"/>
  <c r="C10" i="1"/>
  <c r="C11" i="1"/>
  <c r="C12" i="1"/>
  <c r="C14" i="1"/>
  <c r="C15" i="1"/>
  <c r="C16" i="1"/>
  <c r="C18" i="1"/>
  <c r="C19" i="1"/>
  <c r="C20" i="1"/>
  <c r="C21" i="1"/>
  <c r="C22" i="1"/>
  <c r="C24" i="1"/>
  <c r="C25" i="1"/>
  <c r="C27" i="1"/>
  <c r="C28" i="1"/>
  <c r="C29" i="1"/>
  <c r="C30" i="1"/>
  <c r="C31" i="1"/>
  <c r="C32" i="1"/>
  <c r="C33" i="1"/>
  <c r="C34" i="1"/>
  <c r="C35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1" i="1"/>
  <c r="C53" i="1"/>
  <c r="C54" i="1"/>
  <c r="C55" i="1"/>
  <c r="C57" i="1"/>
  <c r="C58" i="1"/>
  <c r="C59" i="1"/>
  <c r="C60" i="1"/>
  <c r="C61" i="1"/>
  <c r="C64" i="1"/>
  <c r="C66" i="1"/>
  <c r="C67" i="1"/>
  <c r="C68" i="1"/>
  <c r="C69" i="1"/>
  <c r="C70" i="1"/>
  <c r="C71" i="1"/>
  <c r="C72" i="1"/>
  <c r="C73" i="1"/>
  <c r="C74" i="1"/>
  <c r="C75" i="1"/>
  <c r="C79" i="1"/>
  <c r="C83" i="1"/>
  <c r="C84" i="1"/>
  <c r="C85" i="1"/>
  <c r="C86" i="1"/>
  <c r="C87" i="1"/>
  <c r="C89" i="1"/>
  <c r="C92" i="1"/>
  <c r="C95" i="1"/>
  <c r="C96" i="1"/>
  <c r="C97" i="1"/>
  <c r="C100" i="1"/>
  <c r="C102" i="1"/>
  <c r="C103" i="1"/>
  <c r="C105" i="1"/>
  <c r="C106" i="1"/>
  <c r="C108" i="1"/>
  <c r="C109" i="1"/>
  <c r="C110" i="1"/>
  <c r="C111" i="1"/>
  <c r="C112" i="1"/>
  <c r="C115" i="1"/>
  <c r="C117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6" i="1"/>
  <c r="C137" i="1"/>
  <c r="C140" i="1"/>
  <c r="C141" i="1"/>
  <c r="C143" i="1"/>
  <c r="C144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5" i="1"/>
  <c r="C196" i="1"/>
  <c r="C197" i="1"/>
  <c r="C199" i="1"/>
  <c r="C200" i="1"/>
  <c r="C201" i="1"/>
  <c r="C202" i="1"/>
  <c r="C203" i="1"/>
  <c r="C204" i="1"/>
  <c r="C205" i="1"/>
  <c r="C207" i="1"/>
  <c r="C208" i="1"/>
  <c r="C209" i="1"/>
  <c r="C210" i="1"/>
  <c r="C212" i="1"/>
  <c r="C213" i="1"/>
  <c r="C214" i="1"/>
  <c r="C215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8" i="1"/>
  <c r="C260" i="1"/>
  <c r="C261" i="1"/>
  <c r="C262" i="1"/>
  <c r="C263" i="1"/>
  <c r="C264" i="1"/>
  <c r="C265" i="1"/>
  <c r="C266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1" i="1"/>
  <c r="C282" i="1"/>
  <c r="C283" i="1"/>
  <c r="C284" i="1"/>
  <c r="C286" i="1"/>
  <c r="C287" i="1"/>
  <c r="C288" i="1"/>
  <c r="C289" i="1"/>
  <c r="C290" i="1"/>
  <c r="C291" i="1"/>
  <c r="C292" i="1"/>
  <c r="C294" i="1"/>
  <c r="C295" i="1"/>
  <c r="C296" i="1"/>
  <c r="C298" i="1"/>
  <c r="C299" i="1"/>
  <c r="C301" i="1"/>
  <c r="C302" i="1"/>
  <c r="C303" i="1"/>
  <c r="C305" i="1"/>
  <c r="C306" i="1"/>
  <c r="C308" i="1"/>
  <c r="C310" i="1"/>
  <c r="C311" i="1"/>
  <c r="C312" i="1"/>
  <c r="C313" i="1"/>
  <c r="C314" i="1"/>
  <c r="C315" i="1"/>
  <c r="C317" i="1"/>
  <c r="C318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3" i="1"/>
  <c r="C337" i="1"/>
  <c r="C338" i="1"/>
  <c r="C339" i="1"/>
  <c r="C340" i="1"/>
  <c r="C343" i="1"/>
  <c r="C345" i="1"/>
  <c r="C346" i="1"/>
  <c r="C347" i="1"/>
  <c r="C348" i="1"/>
  <c r="C349" i="1"/>
  <c r="C350" i="1"/>
  <c r="C351" i="1"/>
  <c r="C354" i="1"/>
  <c r="C355" i="1"/>
  <c r="C356" i="1"/>
  <c r="C357" i="1"/>
  <c r="C358" i="1"/>
  <c r="C359" i="1"/>
  <c r="C360" i="1"/>
  <c r="C361" i="1"/>
  <c r="C365" i="1"/>
  <c r="C366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4" i="1"/>
  <c r="C385" i="1"/>
  <c r="C386" i="1"/>
  <c r="C390" i="1"/>
  <c r="C391" i="1"/>
  <c r="C392" i="1"/>
  <c r="C394" i="1"/>
  <c r="C395" i="1"/>
  <c r="C396" i="1"/>
  <c r="C397" i="1"/>
  <c r="C398" i="1"/>
  <c r="C399" i="1"/>
  <c r="C400" i="1"/>
  <c r="C401" i="1"/>
  <c r="C402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4" i="1"/>
  <c r="C425" i="1"/>
  <c r="C426" i="1"/>
  <c r="C427" i="1"/>
  <c r="C428" i="1"/>
  <c r="C429" i="1"/>
  <c r="C430" i="1"/>
  <c r="C431" i="1"/>
  <c r="C432" i="1"/>
  <c r="C433" i="1"/>
  <c r="C435" i="1"/>
  <c r="C436" i="1"/>
  <c r="C437" i="1"/>
  <c r="C438" i="1"/>
  <c r="C439" i="1"/>
  <c r="C441" i="1"/>
  <c r="C442" i="1"/>
  <c r="C443" i="1"/>
  <c r="C444" i="1"/>
  <c r="C445" i="1"/>
  <c r="C446" i="1"/>
  <c r="C448" i="1"/>
  <c r="C449" i="1"/>
  <c r="C450" i="1"/>
  <c r="C451" i="1"/>
  <c r="C452" i="1"/>
  <c r="C454" i="1"/>
  <c r="C455" i="1"/>
  <c r="C456" i="1"/>
  <c r="C457" i="1"/>
  <c r="C458" i="1"/>
  <c r="C459" i="1"/>
  <c r="C461" i="1"/>
  <c r="C463" i="1"/>
  <c r="C464" i="1"/>
  <c r="C466" i="1"/>
  <c r="C467" i="1"/>
  <c r="C469" i="1"/>
  <c r="C471" i="1"/>
  <c r="C472" i="1"/>
  <c r="C473" i="1"/>
  <c r="C474" i="1"/>
  <c r="C475" i="1"/>
  <c r="C476" i="1"/>
  <c r="C477" i="1"/>
  <c r="C478" i="1"/>
  <c r="C479" i="1"/>
  <c r="C481" i="1"/>
  <c r="C482" i="1"/>
  <c r="C483" i="1"/>
  <c r="C484" i="1"/>
  <c r="C485" i="1"/>
  <c r="C486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2" i="1"/>
  <c r="C503" i="1"/>
  <c r="C504" i="1"/>
  <c r="C505" i="1"/>
  <c r="C506" i="1"/>
  <c r="C507" i="1"/>
  <c r="C508" i="1"/>
  <c r="C510" i="1"/>
  <c r="C512" i="1"/>
  <c r="C513" i="1"/>
  <c r="C515" i="1"/>
  <c r="C516" i="1"/>
  <c r="C518" i="1"/>
  <c r="C519" i="1"/>
  <c r="C520" i="1"/>
  <c r="C521" i="1"/>
  <c r="C522" i="1"/>
  <c r="C524" i="1"/>
  <c r="C525" i="1"/>
  <c r="C526" i="1"/>
  <c r="C527" i="1"/>
  <c r="C528" i="1"/>
  <c r="C529" i="1"/>
  <c r="C530" i="1"/>
  <c r="C532" i="1"/>
  <c r="C533" i="1"/>
  <c r="C534" i="1"/>
  <c r="C535" i="1"/>
  <c r="C536" i="1"/>
  <c r="C540" i="1"/>
  <c r="C541" i="1"/>
  <c r="C543" i="1"/>
  <c r="C56" i="1"/>
  <c r="E440" i="1" l="1"/>
  <c r="F440" i="1" s="1"/>
  <c r="J440" i="1" s="1"/>
  <c r="E293" i="1"/>
  <c r="H293" i="1" s="1"/>
  <c r="E539" i="1"/>
  <c r="F539" i="1" s="1"/>
  <c r="G371" i="1"/>
  <c r="E296" i="1"/>
  <c r="G281" i="1"/>
  <c r="E285" i="1"/>
  <c r="F285" i="1" s="1"/>
  <c r="J285" i="1" s="1"/>
  <c r="E100" i="1"/>
  <c r="H100" i="1" s="1"/>
  <c r="E429" i="1"/>
  <c r="F429" i="1" s="1"/>
  <c r="G7" i="1"/>
  <c r="E77" i="1"/>
  <c r="H77" i="1" s="1"/>
  <c r="E213" i="1"/>
  <c r="F213" i="1" s="1"/>
  <c r="J213" i="1" s="1"/>
  <c r="E538" i="1"/>
  <c r="E272" i="1"/>
  <c r="H272" i="1" s="1"/>
  <c r="E80" i="1"/>
  <c r="H80" i="1" s="1"/>
  <c r="E3" i="1"/>
  <c r="F3" i="1" s="1"/>
  <c r="J3" i="1" s="1"/>
  <c r="E277" i="1"/>
  <c r="E301" i="1"/>
  <c r="H301" i="1" s="1"/>
  <c r="G411" i="1"/>
  <c r="G425" i="1"/>
  <c r="E467" i="1"/>
  <c r="F467" i="1" s="1"/>
  <c r="J467" i="1" s="1"/>
  <c r="E499" i="1"/>
  <c r="F499" i="1" s="1"/>
  <c r="G361" i="1"/>
  <c r="H310" i="1"/>
  <c r="E394" i="1"/>
  <c r="F394" i="1" s="1"/>
  <c r="J394" i="1" s="1"/>
  <c r="G379" i="1"/>
  <c r="E453" i="1"/>
  <c r="E204" i="1"/>
  <c r="H204" i="1" s="1"/>
  <c r="E25" i="1"/>
  <c r="H25" i="1" s="1"/>
  <c r="G417" i="1"/>
  <c r="E343" i="1"/>
  <c r="H343" i="1" s="1"/>
  <c r="E321" i="1"/>
  <c r="F321" i="1" s="1"/>
  <c r="J321" i="1" s="1"/>
  <c r="E4" i="1"/>
  <c r="E229" i="1"/>
  <c r="H229" i="1" s="1"/>
  <c r="E406" i="1"/>
  <c r="F406" i="1" s="1"/>
  <c r="J406" i="1" s="1"/>
  <c r="G395" i="1"/>
  <c r="G357" i="1"/>
  <c r="E264" i="1"/>
  <c r="G169" i="1"/>
  <c r="G259" i="1"/>
  <c r="G83" i="1"/>
  <c r="G70" i="1"/>
  <c r="E57" i="1"/>
  <c r="H57" i="1" s="1"/>
  <c r="E491" i="1"/>
  <c r="F491" i="1" s="1"/>
  <c r="E421" i="1"/>
  <c r="F421" i="1" s="1"/>
  <c r="J421" i="1" s="1"/>
  <c r="E398" i="1"/>
  <c r="H398" i="1" s="1"/>
  <c r="E325" i="1"/>
  <c r="F325" i="1" s="1"/>
  <c r="J325" i="1" s="1"/>
  <c r="E387" i="1"/>
  <c r="H387" i="1" s="1"/>
  <c r="E342" i="1"/>
  <c r="F342" i="1" s="1"/>
  <c r="J342" i="1" s="1"/>
  <c r="G335" i="1"/>
  <c r="E259" i="1"/>
  <c r="F259" i="1" s="1"/>
  <c r="J259" i="1" s="1"/>
  <c r="G101" i="1"/>
  <c r="G211" i="1"/>
  <c r="G30" i="1"/>
  <c r="H396" i="1"/>
  <c r="E180" i="1"/>
  <c r="F180" i="1" s="1"/>
  <c r="J180" i="1" s="1"/>
  <c r="E128" i="1"/>
  <c r="F128" i="1" s="1"/>
  <c r="J128" i="1" s="1"/>
  <c r="G86" i="1"/>
  <c r="E41" i="1"/>
  <c r="F41" i="1" s="1"/>
  <c r="J41" i="1" s="1"/>
  <c r="E344" i="1"/>
  <c r="F344" i="1" s="1"/>
  <c r="J344" i="1" s="1"/>
  <c r="E459" i="1"/>
  <c r="F459" i="1" s="1"/>
  <c r="J459" i="1" s="1"/>
  <c r="G396" i="1"/>
  <c r="G347" i="1"/>
  <c r="E240" i="1"/>
  <c r="H240" i="1" s="1"/>
  <c r="E186" i="1"/>
  <c r="H186" i="1" s="1"/>
  <c r="H257" i="1"/>
  <c r="E131" i="1"/>
  <c r="H131" i="1" s="1"/>
  <c r="H126" i="1"/>
  <c r="G216" i="1"/>
  <c r="H103" i="1"/>
  <c r="G51" i="1"/>
  <c r="G2" i="1"/>
  <c r="G5" i="1"/>
  <c r="E515" i="1"/>
  <c r="F515" i="1" s="1"/>
  <c r="J515" i="1" s="1"/>
  <c r="E483" i="1"/>
  <c r="F483" i="1" s="1"/>
  <c r="J483" i="1" s="1"/>
  <c r="E451" i="1"/>
  <c r="F451" i="1" s="1"/>
  <c r="E402" i="1"/>
  <c r="G313" i="1"/>
  <c r="H342" i="1"/>
  <c r="E268" i="1"/>
  <c r="H268" i="1" s="1"/>
  <c r="E236" i="1"/>
  <c r="H236" i="1" s="1"/>
  <c r="G230" i="1"/>
  <c r="E212" i="1"/>
  <c r="F212" i="1" s="1"/>
  <c r="G208" i="1"/>
  <c r="G126" i="1"/>
  <c r="G108" i="1"/>
  <c r="H347" i="1"/>
  <c r="G294" i="1"/>
  <c r="G262" i="1"/>
  <c r="E248" i="1"/>
  <c r="H248" i="1" s="1"/>
  <c r="H226" i="1"/>
  <c r="G102" i="1"/>
  <c r="G92" i="1"/>
  <c r="G28" i="1"/>
  <c r="E383" i="1"/>
  <c r="F383" i="1" s="1"/>
  <c r="J383" i="1" s="1"/>
  <c r="E507" i="1"/>
  <c r="F507" i="1" s="1"/>
  <c r="J507" i="1" s="1"/>
  <c r="E475" i="1"/>
  <c r="F475" i="1" s="1"/>
  <c r="E443" i="1"/>
  <c r="F443" i="1" s="1"/>
  <c r="J443" i="1" s="1"/>
  <c r="E81" i="1"/>
  <c r="G381" i="1"/>
  <c r="G355" i="1"/>
  <c r="E351" i="1"/>
  <c r="H351" i="1" s="1"/>
  <c r="H290" i="1"/>
  <c r="H258" i="1"/>
  <c r="H332" i="1"/>
  <c r="G188" i="1"/>
  <c r="G129" i="1"/>
  <c r="E49" i="1"/>
  <c r="G22" i="1"/>
  <c r="I5" i="1"/>
  <c r="G405" i="1"/>
  <c r="E327" i="1"/>
  <c r="H327" i="1" s="1"/>
  <c r="G332" i="1"/>
  <c r="E202" i="1"/>
  <c r="F202" i="1" s="1"/>
  <c r="J202" i="1" s="1"/>
  <c r="H102" i="1"/>
  <c r="H31" i="1"/>
  <c r="G399" i="1"/>
  <c r="G462" i="1"/>
  <c r="I145" i="1"/>
  <c r="G367" i="1"/>
  <c r="H278" i="1"/>
  <c r="G269" i="1"/>
  <c r="G261" i="1"/>
  <c r="H246" i="1"/>
  <c r="G237" i="1"/>
  <c r="F4" i="1"/>
  <c r="J4" i="1" s="1"/>
  <c r="G412" i="1"/>
  <c r="E391" i="1"/>
  <c r="F391" i="1" s="1"/>
  <c r="J391" i="1" s="1"/>
  <c r="G310" i="1"/>
  <c r="G145" i="1"/>
  <c r="G278" i="1"/>
  <c r="G246" i="1"/>
  <c r="E241" i="1"/>
  <c r="E232" i="1"/>
  <c r="H232" i="1" s="1"/>
  <c r="E336" i="1"/>
  <c r="E210" i="1"/>
  <c r="F373" i="1"/>
  <c r="J373" i="1" s="1"/>
  <c r="F2" i="1"/>
  <c r="J2" i="1" s="1"/>
  <c r="H2" i="1"/>
  <c r="F361" i="1"/>
  <c r="J361" i="1" s="1"/>
  <c r="H535" i="1"/>
  <c r="H527" i="1"/>
  <c r="H519" i="1"/>
  <c r="H514" i="1"/>
  <c r="H503" i="1"/>
  <c r="H495" i="1"/>
  <c r="H393" i="1"/>
  <c r="H479" i="1"/>
  <c r="H471" i="1"/>
  <c r="H463" i="1"/>
  <c r="H455" i="1"/>
  <c r="H23" i="1"/>
  <c r="H439" i="1"/>
  <c r="E511" i="1"/>
  <c r="H511" i="1" s="1"/>
  <c r="E400" i="1"/>
  <c r="F400" i="1" s="1"/>
  <c r="J400" i="1" s="1"/>
  <c r="G400" i="1"/>
  <c r="G388" i="1"/>
  <c r="E388" i="1"/>
  <c r="F388" i="1" s="1"/>
  <c r="J388" i="1" s="1"/>
  <c r="H381" i="1"/>
  <c r="F357" i="1"/>
  <c r="J357" i="1" s="1"/>
  <c r="G349" i="1"/>
  <c r="E349" i="1"/>
  <c r="E345" i="1"/>
  <c r="F345" i="1" s="1"/>
  <c r="J345" i="1" s="1"/>
  <c r="H7" i="1"/>
  <c r="I7" i="1"/>
  <c r="G65" i="1"/>
  <c r="E65" i="1"/>
  <c r="H65" i="1" s="1"/>
  <c r="E363" i="1"/>
  <c r="H363" i="1" s="1"/>
  <c r="G363" i="1"/>
  <c r="G256" i="1"/>
  <c r="E256" i="1"/>
  <c r="H256" i="1" s="1"/>
  <c r="E221" i="1"/>
  <c r="F221" i="1" s="1"/>
  <c r="J221" i="1" s="1"/>
  <c r="G221" i="1"/>
  <c r="I87" i="1"/>
  <c r="J87" i="1"/>
  <c r="F12" i="1"/>
  <c r="J12" i="1" s="1"/>
  <c r="E384" i="1"/>
  <c r="F384" i="1" s="1"/>
  <c r="J384" i="1" s="1"/>
  <c r="G375" i="1"/>
  <c r="E375" i="1"/>
  <c r="F375" i="1" s="1"/>
  <c r="J375" i="1" s="1"/>
  <c r="H361" i="1"/>
  <c r="E329" i="1"/>
  <c r="H329" i="1" s="1"/>
  <c r="G320" i="1"/>
  <c r="E320" i="1"/>
  <c r="F320" i="1" s="1"/>
  <c r="J320" i="1" s="1"/>
  <c r="E314" i="1"/>
  <c r="F314" i="1" s="1"/>
  <c r="J314" i="1" s="1"/>
  <c r="G314" i="1"/>
  <c r="E302" i="1"/>
  <c r="F302" i="1" s="1"/>
  <c r="J302" i="1" s="1"/>
  <c r="G260" i="1"/>
  <c r="E260" i="1"/>
  <c r="H260" i="1" s="1"/>
  <c r="E250" i="1"/>
  <c r="F250" i="1" s="1"/>
  <c r="J250" i="1" s="1"/>
  <c r="G250" i="1"/>
  <c r="E238" i="1"/>
  <c r="F238" i="1" s="1"/>
  <c r="J238" i="1" s="1"/>
  <c r="F138" i="1"/>
  <c r="J138" i="1" s="1"/>
  <c r="E431" i="1"/>
  <c r="H431" i="1" s="1"/>
  <c r="E353" i="1"/>
  <c r="F353" i="1" s="1"/>
  <c r="J353" i="1" s="1"/>
  <c r="G198" i="1"/>
  <c r="E198" i="1"/>
  <c r="G297" i="1"/>
  <c r="G533" i="1"/>
  <c r="G529" i="1"/>
  <c r="G525" i="1"/>
  <c r="G521" i="1"/>
  <c r="G389" i="1"/>
  <c r="G513" i="1"/>
  <c r="G99" i="1"/>
  <c r="G505" i="1"/>
  <c r="G280" i="1"/>
  <c r="G497" i="1"/>
  <c r="G493" i="1"/>
  <c r="G489" i="1"/>
  <c r="G485" i="1"/>
  <c r="G481" i="1"/>
  <c r="G477" i="1"/>
  <c r="G473" i="1"/>
  <c r="G469" i="1"/>
  <c r="G161" i="1"/>
  <c r="G461" i="1"/>
  <c r="G457" i="1"/>
  <c r="G468" i="1"/>
  <c r="G449" i="1"/>
  <c r="G445" i="1"/>
  <c r="G441" i="1"/>
  <c r="G437" i="1"/>
  <c r="G433" i="1"/>
  <c r="G410" i="1"/>
  <c r="E410" i="1"/>
  <c r="G323" i="1"/>
  <c r="E323" i="1"/>
  <c r="H323" i="1" s="1"/>
  <c r="E298" i="1"/>
  <c r="F298" i="1" s="1"/>
  <c r="J298" i="1" s="1"/>
  <c r="G298" i="1"/>
  <c r="G276" i="1"/>
  <c r="H276" i="1"/>
  <c r="F86" i="1"/>
  <c r="J86" i="1" s="1"/>
  <c r="H86" i="1"/>
  <c r="E365" i="1"/>
  <c r="H365" i="1" s="1"/>
  <c r="E286" i="1"/>
  <c r="F286" i="1" s="1"/>
  <c r="J286" i="1" s="1"/>
  <c r="E265" i="1"/>
  <c r="F265" i="1" s="1"/>
  <c r="G265" i="1"/>
  <c r="H4" i="1"/>
  <c r="H543" i="1"/>
  <c r="G419" i="1"/>
  <c r="E392" i="1"/>
  <c r="F392" i="1" s="1"/>
  <c r="J392" i="1" s="1"/>
  <c r="G373" i="1"/>
  <c r="H462" i="1"/>
  <c r="E339" i="1"/>
  <c r="H339" i="1" s="1"/>
  <c r="G339" i="1"/>
  <c r="G333" i="1"/>
  <c r="E333" i="1"/>
  <c r="E322" i="1"/>
  <c r="F322" i="1" s="1"/>
  <c r="J322" i="1" s="1"/>
  <c r="E305" i="1"/>
  <c r="H305" i="1" s="1"/>
  <c r="G305" i="1"/>
  <c r="E88" i="1"/>
  <c r="H88" i="1" s="1"/>
  <c r="G88" i="1"/>
  <c r="G289" i="1"/>
  <c r="E289" i="1"/>
  <c r="H289" i="1" s="1"/>
  <c r="E233" i="1"/>
  <c r="F233" i="1" s="1"/>
  <c r="J233" i="1" s="1"/>
  <c r="G233" i="1"/>
  <c r="G334" i="1"/>
  <c r="H334" i="1"/>
  <c r="E196" i="1"/>
  <c r="G196" i="1"/>
  <c r="H529" i="1"/>
  <c r="H505" i="1"/>
  <c r="H481" i="1"/>
  <c r="H161" i="1"/>
  <c r="H441" i="1"/>
  <c r="H433" i="1"/>
  <c r="G359" i="1"/>
  <c r="E359" i="1"/>
  <c r="H359" i="1" s="1"/>
  <c r="E318" i="1"/>
  <c r="F318" i="1" s="1"/>
  <c r="J318" i="1" s="1"/>
  <c r="H513" i="1"/>
  <c r="H489" i="1"/>
  <c r="H473" i="1"/>
  <c r="H449" i="1"/>
  <c r="G312" i="1"/>
  <c r="E312" i="1"/>
  <c r="F312" i="1" s="1"/>
  <c r="J312" i="1" s="1"/>
  <c r="G427" i="1"/>
  <c r="E523" i="1"/>
  <c r="I381" i="1"/>
  <c r="E377" i="1"/>
  <c r="F377" i="1" s="1"/>
  <c r="J377" i="1" s="1"/>
  <c r="G365" i="1"/>
  <c r="E331" i="1"/>
  <c r="F331" i="1" s="1"/>
  <c r="J331" i="1" s="1"/>
  <c r="E317" i="1"/>
  <c r="F317" i="1" s="1"/>
  <c r="J317" i="1" s="1"/>
  <c r="G317" i="1"/>
  <c r="E311" i="1"/>
  <c r="G311" i="1"/>
  <c r="E308" i="1"/>
  <c r="H308" i="1" s="1"/>
  <c r="G292" i="1"/>
  <c r="E292" i="1"/>
  <c r="H292" i="1" s="1"/>
  <c r="E282" i="1"/>
  <c r="F282" i="1" s="1"/>
  <c r="J282" i="1" s="1"/>
  <c r="G282" i="1"/>
  <c r="E270" i="1"/>
  <c r="F270" i="1" s="1"/>
  <c r="J270" i="1" s="1"/>
  <c r="I332" i="1"/>
  <c r="J332" i="1"/>
  <c r="H188" i="1"/>
  <c r="H297" i="1"/>
  <c r="H521" i="1"/>
  <c r="H497" i="1"/>
  <c r="H457" i="1"/>
  <c r="G288" i="1"/>
  <c r="E288" i="1"/>
  <c r="H288" i="1" s="1"/>
  <c r="E253" i="1"/>
  <c r="G253" i="1"/>
  <c r="G224" i="1"/>
  <c r="E224" i="1"/>
  <c r="H224" i="1" s="1"/>
  <c r="E6" i="1"/>
  <c r="H6" i="1" s="1"/>
  <c r="G535" i="1"/>
  <c r="G527" i="1"/>
  <c r="G519" i="1"/>
  <c r="G514" i="1"/>
  <c r="G503" i="1"/>
  <c r="G495" i="1"/>
  <c r="G393" i="1"/>
  <c r="G479" i="1"/>
  <c r="G471" i="1"/>
  <c r="G463" i="1"/>
  <c r="G455" i="1"/>
  <c r="G23" i="1"/>
  <c r="G439" i="1"/>
  <c r="G431" i="1"/>
  <c r="E397" i="1"/>
  <c r="F397" i="1" s="1"/>
  <c r="J397" i="1" s="1"/>
  <c r="G397" i="1"/>
  <c r="H394" i="1"/>
  <c r="E390" i="1"/>
  <c r="F390" i="1" s="1"/>
  <c r="J390" i="1" s="1"/>
  <c r="E385" i="1"/>
  <c r="H373" i="1"/>
  <c r="G337" i="1"/>
  <c r="E337" i="1"/>
  <c r="F337" i="1" s="1"/>
  <c r="J337" i="1" s="1"/>
  <c r="F303" i="1"/>
  <c r="J303" i="1" s="1"/>
  <c r="E273" i="1"/>
  <c r="E266" i="1"/>
  <c r="F266" i="1" s="1"/>
  <c r="J266" i="1" s="1"/>
  <c r="G266" i="1"/>
  <c r="G244" i="1"/>
  <c r="H244" i="1"/>
  <c r="H425" i="1"/>
  <c r="H417" i="1"/>
  <c r="H369" i="1"/>
  <c r="H440" i="1"/>
  <c r="H294" i="1"/>
  <c r="H274" i="1"/>
  <c r="H262" i="1"/>
  <c r="H242" i="1"/>
  <c r="H230" i="1"/>
  <c r="E228" i="1"/>
  <c r="H228" i="1" s="1"/>
  <c r="E225" i="1"/>
  <c r="F225" i="1" s="1"/>
  <c r="J225" i="1" s="1"/>
  <c r="E215" i="1"/>
  <c r="F215" i="1" s="1"/>
  <c r="J215" i="1" s="1"/>
  <c r="E316" i="1"/>
  <c r="F316" i="1" s="1"/>
  <c r="J316" i="1" s="1"/>
  <c r="E190" i="1"/>
  <c r="E120" i="1"/>
  <c r="H120" i="1" s="1"/>
  <c r="H137" i="1"/>
  <c r="G257" i="1"/>
  <c r="E218" i="1"/>
  <c r="H218" i="1" s="1"/>
  <c r="F108" i="1"/>
  <c r="J108" i="1" s="1"/>
  <c r="E107" i="1"/>
  <c r="F107" i="1" s="1"/>
  <c r="J107" i="1" s="1"/>
  <c r="H70" i="1"/>
  <c r="E60" i="1"/>
  <c r="F60" i="1" s="1"/>
  <c r="J60" i="1" s="1"/>
  <c r="E44" i="1"/>
  <c r="H44" i="1" s="1"/>
  <c r="H28" i="1"/>
  <c r="E17" i="1"/>
  <c r="H17" i="1" s="1"/>
  <c r="H319" i="1"/>
  <c r="H182" i="1"/>
  <c r="G137" i="1"/>
  <c r="H121" i="1"/>
  <c r="G115" i="1"/>
  <c r="H62" i="1"/>
  <c r="H20" i="1"/>
  <c r="H12" i="1"/>
  <c r="H335" i="1"/>
  <c r="G214" i="1"/>
  <c r="G177" i="1"/>
  <c r="G121" i="1"/>
  <c r="G110" i="1"/>
  <c r="G62" i="1"/>
  <c r="G84" i="1"/>
  <c r="E114" i="1"/>
  <c r="F114" i="1" s="1"/>
  <c r="J114" i="1" s="1"/>
  <c r="H91" i="1"/>
  <c r="G54" i="1"/>
  <c r="G46" i="1"/>
  <c r="G20" i="1"/>
  <c r="G12" i="1"/>
  <c r="E9" i="1"/>
  <c r="F9" i="1" s="1"/>
  <c r="J9" i="1" s="1"/>
  <c r="G153" i="1"/>
  <c r="E140" i="1"/>
  <c r="F140" i="1" s="1"/>
  <c r="J140" i="1" s="1"/>
  <c r="G118" i="1"/>
  <c r="E124" i="1"/>
  <c r="H124" i="1" s="1"/>
  <c r="H101" i="1"/>
  <c r="E73" i="1"/>
  <c r="H73" i="1" s="1"/>
  <c r="G91" i="1"/>
  <c r="G38" i="1"/>
  <c r="F95" i="1"/>
  <c r="J95" i="1" s="1"/>
  <c r="E94" i="1"/>
  <c r="F94" i="1" s="1"/>
  <c r="J94" i="1" s="1"/>
  <c r="E309" i="1"/>
  <c r="H309" i="1" s="1"/>
  <c r="E284" i="1"/>
  <c r="H284" i="1" s="1"/>
  <c r="E252" i="1"/>
  <c r="H252" i="1" s="1"/>
  <c r="H352" i="1"/>
  <c r="E220" i="1"/>
  <c r="H220" i="1" s="1"/>
  <c r="E206" i="1"/>
  <c r="F206" i="1" s="1"/>
  <c r="J206" i="1" s="1"/>
  <c r="E105" i="1"/>
  <c r="F105" i="1" s="1"/>
  <c r="J105" i="1" s="1"/>
  <c r="E33" i="1"/>
  <c r="G11" i="1"/>
  <c r="G541" i="1"/>
  <c r="H254" i="1"/>
  <c r="G352" i="1"/>
  <c r="H222" i="1"/>
  <c r="G319" i="1"/>
  <c r="G182" i="1"/>
  <c r="H87" i="1"/>
  <c r="H93" i="1"/>
  <c r="E11" i="1"/>
  <c r="H11" i="1" s="1"/>
  <c r="I539" i="1"/>
  <c r="J539" i="1"/>
  <c r="I515" i="1"/>
  <c r="I499" i="1"/>
  <c r="J499" i="1"/>
  <c r="F413" i="1"/>
  <c r="J413" i="1" s="1"/>
  <c r="F522" i="1"/>
  <c r="J522" i="1" s="1"/>
  <c r="H522" i="1"/>
  <c r="F36" i="1"/>
  <c r="J36" i="1" s="1"/>
  <c r="H36" i="1"/>
  <c r="F506" i="1"/>
  <c r="J506" i="1" s="1"/>
  <c r="H506" i="1"/>
  <c r="H498" i="1"/>
  <c r="F498" i="1"/>
  <c r="J498" i="1" s="1"/>
  <c r="F490" i="1"/>
  <c r="J490" i="1" s="1"/>
  <c r="H490" i="1"/>
  <c r="F482" i="1"/>
  <c r="J482" i="1" s="1"/>
  <c r="H482" i="1"/>
  <c r="F474" i="1"/>
  <c r="J474" i="1" s="1"/>
  <c r="H474" i="1"/>
  <c r="F458" i="1"/>
  <c r="J458" i="1" s="1"/>
  <c r="H458" i="1"/>
  <c r="F450" i="1"/>
  <c r="J450" i="1" s="1"/>
  <c r="H442" i="1"/>
  <c r="F442" i="1"/>
  <c r="J442" i="1" s="1"/>
  <c r="F426" i="1"/>
  <c r="J426" i="1" s="1"/>
  <c r="H426" i="1"/>
  <c r="F418" i="1"/>
  <c r="J418" i="1" s="1"/>
  <c r="H418" i="1"/>
  <c r="F409" i="1"/>
  <c r="J409" i="1" s="1"/>
  <c r="F380" i="1"/>
  <c r="J380" i="1" s="1"/>
  <c r="I541" i="1"/>
  <c r="J541" i="1"/>
  <c r="I525" i="1"/>
  <c r="J525" i="1"/>
  <c r="I99" i="1"/>
  <c r="J99" i="1"/>
  <c r="I477" i="1"/>
  <c r="J477" i="1"/>
  <c r="I469" i="1"/>
  <c r="J469" i="1"/>
  <c r="I445" i="1"/>
  <c r="J445" i="1"/>
  <c r="I437" i="1"/>
  <c r="J437" i="1"/>
  <c r="I429" i="1"/>
  <c r="J429" i="1"/>
  <c r="F405" i="1"/>
  <c r="J405" i="1" s="1"/>
  <c r="F487" i="1"/>
  <c r="J487" i="1" s="1"/>
  <c r="I461" i="1"/>
  <c r="J461" i="1"/>
  <c r="I533" i="1"/>
  <c r="J533" i="1"/>
  <c r="I493" i="1"/>
  <c r="J493" i="1"/>
  <c r="I468" i="1"/>
  <c r="J468" i="1"/>
  <c r="H540" i="1"/>
  <c r="F540" i="1"/>
  <c r="J540" i="1" s="1"/>
  <c r="F532" i="1"/>
  <c r="J532" i="1" s="1"/>
  <c r="H532" i="1"/>
  <c r="F520" i="1"/>
  <c r="J520" i="1" s="1"/>
  <c r="F492" i="1"/>
  <c r="J492" i="1" s="1"/>
  <c r="H492" i="1"/>
  <c r="F452" i="1"/>
  <c r="J452" i="1" s="1"/>
  <c r="H452" i="1"/>
  <c r="I389" i="1"/>
  <c r="J389" i="1"/>
  <c r="I280" i="1"/>
  <c r="J280" i="1"/>
  <c r="I485" i="1"/>
  <c r="J485" i="1"/>
  <c r="F536" i="1"/>
  <c r="J536" i="1" s="1"/>
  <c r="H524" i="1"/>
  <c r="F524" i="1"/>
  <c r="J524" i="1" s="1"/>
  <c r="F516" i="1"/>
  <c r="J516" i="1" s="1"/>
  <c r="H516" i="1"/>
  <c r="F508" i="1"/>
  <c r="J508" i="1" s="1"/>
  <c r="H508" i="1"/>
  <c r="F504" i="1"/>
  <c r="J504" i="1" s="1"/>
  <c r="H267" i="1"/>
  <c r="F267" i="1"/>
  <c r="J267" i="1" s="1"/>
  <c r="F488" i="1"/>
  <c r="J488" i="1" s="1"/>
  <c r="F484" i="1"/>
  <c r="J484" i="1" s="1"/>
  <c r="H484" i="1"/>
  <c r="F476" i="1"/>
  <c r="J476" i="1" s="1"/>
  <c r="H476" i="1"/>
  <c r="F500" i="1"/>
  <c r="J500" i="1" s="1"/>
  <c r="H500" i="1"/>
  <c r="F234" i="1"/>
  <c r="J234" i="1" s="1"/>
  <c r="H234" i="1"/>
  <c r="F444" i="1"/>
  <c r="J444" i="1" s="1"/>
  <c r="H444" i="1"/>
  <c r="F436" i="1"/>
  <c r="J436" i="1" s="1"/>
  <c r="H436" i="1"/>
  <c r="F428" i="1"/>
  <c r="J428" i="1" s="1"/>
  <c r="H428" i="1"/>
  <c r="F420" i="1"/>
  <c r="J420" i="1" s="1"/>
  <c r="H420" i="1"/>
  <c r="F415" i="1"/>
  <c r="J415" i="1" s="1"/>
  <c r="I451" i="1"/>
  <c r="J451" i="1"/>
  <c r="I435" i="1"/>
  <c r="J435" i="1"/>
  <c r="I427" i="1"/>
  <c r="J427" i="1"/>
  <c r="I419" i="1"/>
  <c r="J419" i="1"/>
  <c r="J491" i="1"/>
  <c r="J475" i="1"/>
  <c r="F300" i="1"/>
  <c r="J300" i="1" s="1"/>
  <c r="H300" i="1"/>
  <c r="F530" i="1"/>
  <c r="J530" i="1" s="1"/>
  <c r="H530" i="1"/>
  <c r="H466" i="1"/>
  <c r="F466" i="1"/>
  <c r="J466" i="1" s="1"/>
  <c r="F537" i="1"/>
  <c r="J537" i="1" s="1"/>
  <c r="H537" i="1"/>
  <c r="I543" i="1"/>
  <c r="I535" i="1"/>
  <c r="I527" i="1"/>
  <c r="I514" i="1"/>
  <c r="I503" i="1"/>
  <c r="I393" i="1"/>
  <c r="I297" i="1"/>
  <c r="H536" i="1"/>
  <c r="I521" i="1"/>
  <c r="H520" i="1"/>
  <c r="I505" i="1"/>
  <c r="H504" i="1"/>
  <c r="I489" i="1"/>
  <c r="H488" i="1"/>
  <c r="E364" i="1"/>
  <c r="G536" i="1"/>
  <c r="E534" i="1"/>
  <c r="H534" i="1" s="1"/>
  <c r="G528" i="1"/>
  <c r="E526" i="1"/>
  <c r="G520" i="1"/>
  <c r="F519" i="1"/>
  <c r="J519" i="1" s="1"/>
  <c r="E518" i="1"/>
  <c r="H518" i="1" s="1"/>
  <c r="G512" i="1"/>
  <c r="E510" i="1"/>
  <c r="H510" i="1" s="1"/>
  <c r="G504" i="1"/>
  <c r="E502" i="1"/>
  <c r="H502" i="1" s="1"/>
  <c r="G496" i="1"/>
  <c r="F495" i="1"/>
  <c r="J495" i="1" s="1"/>
  <c r="E494" i="1"/>
  <c r="H494" i="1" s="1"/>
  <c r="G488" i="1"/>
  <c r="E486" i="1"/>
  <c r="H486" i="1" s="1"/>
  <c r="G509" i="1"/>
  <c r="F479" i="1"/>
  <c r="J479" i="1" s="1"/>
  <c r="E478" i="1"/>
  <c r="H478" i="1" s="1"/>
  <c r="G472" i="1"/>
  <c r="F471" i="1"/>
  <c r="J471" i="1" s="1"/>
  <c r="E404" i="1"/>
  <c r="H404" i="1" s="1"/>
  <c r="G464" i="1"/>
  <c r="F463" i="1"/>
  <c r="J463" i="1" s="1"/>
  <c r="E307" i="1"/>
  <c r="H307" i="1" s="1"/>
  <c r="G456" i="1"/>
  <c r="F455" i="1"/>
  <c r="J455" i="1" s="1"/>
  <c r="E454" i="1"/>
  <c r="H454" i="1" s="1"/>
  <c r="G448" i="1"/>
  <c r="F23" i="1"/>
  <c r="J23" i="1" s="1"/>
  <c r="E446" i="1"/>
  <c r="G542" i="1"/>
  <c r="F439" i="1"/>
  <c r="J439" i="1" s="1"/>
  <c r="E438" i="1"/>
  <c r="H438" i="1" s="1"/>
  <c r="G432" i="1"/>
  <c r="E430" i="1"/>
  <c r="H430" i="1" s="1"/>
  <c r="G424" i="1"/>
  <c r="F523" i="1"/>
  <c r="J523" i="1" s="1"/>
  <c r="E422" i="1"/>
  <c r="G416" i="1"/>
  <c r="H412" i="1"/>
  <c r="F411" i="1"/>
  <c r="J411" i="1" s="1"/>
  <c r="G408" i="1"/>
  <c r="H407" i="1"/>
  <c r="H405" i="1"/>
  <c r="E401" i="1"/>
  <c r="H401" i="1" s="1"/>
  <c r="I399" i="1"/>
  <c r="F398" i="1"/>
  <c r="J398" i="1" s="1"/>
  <c r="F395" i="1"/>
  <c r="J395" i="1" s="1"/>
  <c r="G392" i="1"/>
  <c r="E386" i="1"/>
  <c r="G386" i="1"/>
  <c r="G384" i="1"/>
  <c r="E382" i="1"/>
  <c r="H382" i="1" s="1"/>
  <c r="G378" i="1"/>
  <c r="E460" i="1"/>
  <c r="H460" i="1" s="1"/>
  <c r="G360" i="1"/>
  <c r="E360" i="1"/>
  <c r="H360" i="1" s="1"/>
  <c r="E531" i="1"/>
  <c r="H531" i="1" s="1"/>
  <c r="G340" i="1"/>
  <c r="E340" i="1"/>
  <c r="H340" i="1" s="1"/>
  <c r="G324" i="1"/>
  <c r="E324" i="1"/>
  <c r="H450" i="1"/>
  <c r="G380" i="1"/>
  <c r="H380" i="1"/>
  <c r="F378" i="1"/>
  <c r="J378" i="1" s="1"/>
  <c r="G376" i="1"/>
  <c r="E376" i="1"/>
  <c r="H376" i="1" s="1"/>
  <c r="E374" i="1"/>
  <c r="H374" i="1" s="1"/>
  <c r="E370" i="1"/>
  <c r="H370" i="1" s="1"/>
  <c r="E366" i="1"/>
  <c r="H366" i="1" s="1"/>
  <c r="G465" i="1"/>
  <c r="E465" i="1"/>
  <c r="H465" i="1" s="1"/>
  <c r="F355" i="1"/>
  <c r="J355" i="1" s="1"/>
  <c r="H317" i="1"/>
  <c r="F296" i="1"/>
  <c r="J296" i="1" s="1"/>
  <c r="H296" i="1"/>
  <c r="E231" i="1"/>
  <c r="H231" i="1" s="1"/>
  <c r="G231" i="1"/>
  <c r="H415" i="1"/>
  <c r="G300" i="1"/>
  <c r="H539" i="1"/>
  <c r="G530" i="1"/>
  <c r="F529" i="1"/>
  <c r="J529" i="1" s="1"/>
  <c r="E528" i="1"/>
  <c r="G522" i="1"/>
  <c r="G36" i="1"/>
  <c r="F513" i="1"/>
  <c r="J513" i="1" s="1"/>
  <c r="E512" i="1"/>
  <c r="H512" i="1" s="1"/>
  <c r="H507" i="1"/>
  <c r="G506" i="1"/>
  <c r="H499" i="1"/>
  <c r="G498" i="1"/>
  <c r="F497" i="1"/>
  <c r="J497" i="1" s="1"/>
  <c r="E496" i="1"/>
  <c r="G490" i="1"/>
  <c r="G482" i="1"/>
  <c r="F481" i="1"/>
  <c r="J481" i="1" s="1"/>
  <c r="E509" i="1"/>
  <c r="G474" i="1"/>
  <c r="F473" i="1"/>
  <c r="J473" i="1" s="1"/>
  <c r="E472" i="1"/>
  <c r="H472" i="1" s="1"/>
  <c r="H467" i="1"/>
  <c r="G466" i="1"/>
  <c r="F161" i="1"/>
  <c r="J161" i="1" s="1"/>
  <c r="E464" i="1"/>
  <c r="G458" i="1"/>
  <c r="F457" i="1"/>
  <c r="J457" i="1" s="1"/>
  <c r="E456" i="1"/>
  <c r="H456" i="1" s="1"/>
  <c r="H451" i="1"/>
  <c r="G450" i="1"/>
  <c r="F449" i="1"/>
  <c r="J449" i="1" s="1"/>
  <c r="E448" i="1"/>
  <c r="H448" i="1" s="1"/>
  <c r="G442" i="1"/>
  <c r="F441" i="1"/>
  <c r="J441" i="1" s="1"/>
  <c r="E542" i="1"/>
  <c r="H542" i="1" s="1"/>
  <c r="H435" i="1"/>
  <c r="G537" i="1"/>
  <c r="F433" i="1"/>
  <c r="J433" i="1" s="1"/>
  <c r="E432" i="1"/>
  <c r="H432" i="1" s="1"/>
  <c r="H427" i="1"/>
  <c r="G426" i="1"/>
  <c r="F425" i="1"/>
  <c r="J425" i="1" s="1"/>
  <c r="E424" i="1"/>
  <c r="H424" i="1" s="1"/>
  <c r="H419" i="1"/>
  <c r="G418" i="1"/>
  <c r="F417" i="1"/>
  <c r="J417" i="1" s="1"/>
  <c r="E416" i="1"/>
  <c r="H416" i="1" s="1"/>
  <c r="H413" i="1"/>
  <c r="F412" i="1"/>
  <c r="J412" i="1" s="1"/>
  <c r="H409" i="1"/>
  <c r="I408" i="1"/>
  <c r="I406" i="1"/>
  <c r="H487" i="1"/>
  <c r="I392" i="1"/>
  <c r="I390" i="1"/>
  <c r="F81" i="1"/>
  <c r="J81" i="1" s="1"/>
  <c r="H81" i="1"/>
  <c r="H385" i="1"/>
  <c r="G372" i="1"/>
  <c r="E372" i="1"/>
  <c r="H372" i="1" s="1"/>
  <c r="J369" i="1"/>
  <c r="E346" i="1"/>
  <c r="H346" i="1" s="1"/>
  <c r="G423" i="1"/>
  <c r="E423" i="1"/>
  <c r="H423" i="1" s="1"/>
  <c r="E326" i="1"/>
  <c r="H326" i="1" s="1"/>
  <c r="G413" i="1"/>
  <c r="G409" i="1"/>
  <c r="G487" i="1"/>
  <c r="H390" i="1"/>
  <c r="G368" i="1"/>
  <c r="E368" i="1"/>
  <c r="E350" i="1"/>
  <c r="H350" i="1" s="1"/>
  <c r="G348" i="1"/>
  <c r="E348" i="1"/>
  <c r="H348" i="1" s="1"/>
  <c r="E295" i="1"/>
  <c r="H295" i="1" s="1"/>
  <c r="G295" i="1"/>
  <c r="H541" i="1"/>
  <c r="G540" i="1"/>
  <c r="H533" i="1"/>
  <c r="G532" i="1"/>
  <c r="H525" i="1"/>
  <c r="G524" i="1"/>
  <c r="H389" i="1"/>
  <c r="G516" i="1"/>
  <c r="H99" i="1"/>
  <c r="G508" i="1"/>
  <c r="H280" i="1"/>
  <c r="G267" i="1"/>
  <c r="H493" i="1"/>
  <c r="G492" i="1"/>
  <c r="H485" i="1"/>
  <c r="G484" i="1"/>
  <c r="H477" i="1"/>
  <c r="G476" i="1"/>
  <c r="H469" i="1"/>
  <c r="G500" i="1"/>
  <c r="H461" i="1"/>
  <c r="G234" i="1"/>
  <c r="H468" i="1"/>
  <c r="G452" i="1"/>
  <c r="H445" i="1"/>
  <c r="G444" i="1"/>
  <c r="H437" i="1"/>
  <c r="G436" i="1"/>
  <c r="H429" i="1"/>
  <c r="G428" i="1"/>
  <c r="G420" i="1"/>
  <c r="I407" i="1"/>
  <c r="F511" i="1"/>
  <c r="J511" i="1" s="1"/>
  <c r="H399" i="1"/>
  <c r="I396" i="1"/>
  <c r="I394" i="1"/>
  <c r="E480" i="1"/>
  <c r="F379" i="1"/>
  <c r="J379" i="1" s="1"/>
  <c r="F462" i="1"/>
  <c r="J462" i="1" s="1"/>
  <c r="E330" i="1"/>
  <c r="H330" i="1" s="1"/>
  <c r="G328" i="1"/>
  <c r="E328" i="1"/>
  <c r="H328" i="1" s="1"/>
  <c r="H325" i="1"/>
  <c r="F264" i="1"/>
  <c r="J264" i="1" s="1"/>
  <c r="H264" i="1"/>
  <c r="F371" i="1"/>
  <c r="J371" i="1" s="1"/>
  <c r="F293" i="1"/>
  <c r="J293" i="1" s="1"/>
  <c r="E354" i="1"/>
  <c r="H354" i="1" s="1"/>
  <c r="G434" i="1"/>
  <c r="E434" i="1"/>
  <c r="H434" i="1" s="1"/>
  <c r="E63" i="1"/>
  <c r="H63" i="1" s="1"/>
  <c r="G403" i="1"/>
  <c r="E403" i="1"/>
  <c r="H403" i="1" s="1"/>
  <c r="G470" i="1"/>
  <c r="E470" i="1"/>
  <c r="H470" i="1" s="1"/>
  <c r="E306" i="1"/>
  <c r="G306" i="1"/>
  <c r="F214" i="1"/>
  <c r="J214" i="1" s="1"/>
  <c r="G502" i="1"/>
  <c r="G494" i="1"/>
  <c r="G415" i="1"/>
  <c r="E414" i="1"/>
  <c r="G353" i="1"/>
  <c r="I400" i="1"/>
  <c r="I395" i="1"/>
  <c r="E501" i="1"/>
  <c r="G501" i="1"/>
  <c r="H386" i="1"/>
  <c r="E358" i="1"/>
  <c r="H358" i="1" s="1"/>
  <c r="G356" i="1"/>
  <c r="E356" i="1"/>
  <c r="H356" i="1" s="1"/>
  <c r="I440" i="1"/>
  <c r="F347" i="1"/>
  <c r="J347" i="1" s="1"/>
  <c r="F313" i="1"/>
  <c r="J313" i="1" s="1"/>
  <c r="E263" i="1"/>
  <c r="H263" i="1" s="1"/>
  <c r="G263" i="1"/>
  <c r="H378" i="1"/>
  <c r="G374" i="1"/>
  <c r="H355" i="1"/>
  <c r="E338" i="1"/>
  <c r="H338" i="1" s="1"/>
  <c r="G76" i="1"/>
  <c r="E76" i="1"/>
  <c r="H76" i="1" s="1"/>
  <c r="F88" i="1"/>
  <c r="J88" i="1" s="1"/>
  <c r="H313" i="1"/>
  <c r="H303" i="1"/>
  <c r="E283" i="1"/>
  <c r="F272" i="1"/>
  <c r="J272" i="1" s="1"/>
  <c r="H261" i="1"/>
  <c r="F261" i="1"/>
  <c r="J261" i="1" s="1"/>
  <c r="E447" i="1"/>
  <c r="H447" i="1" s="1"/>
  <c r="F252" i="1"/>
  <c r="J252" i="1" s="1"/>
  <c r="F241" i="1"/>
  <c r="J241" i="1" s="1"/>
  <c r="E239" i="1"/>
  <c r="H239" i="1" s="1"/>
  <c r="F228" i="1"/>
  <c r="J228" i="1" s="1"/>
  <c r="H221" i="1"/>
  <c r="E341" i="1"/>
  <c r="H341" i="1" s="1"/>
  <c r="F204" i="1"/>
  <c r="J204" i="1" s="1"/>
  <c r="E189" i="1"/>
  <c r="H189" i="1" s="1"/>
  <c r="G189" i="1"/>
  <c r="E209" i="1"/>
  <c r="H209" i="1" s="1"/>
  <c r="F538" i="1"/>
  <c r="J538" i="1" s="1"/>
  <c r="E195" i="1"/>
  <c r="G195" i="1"/>
  <c r="G322" i="1"/>
  <c r="H312" i="1"/>
  <c r="E287" i="1"/>
  <c r="H287" i="1" s="1"/>
  <c r="F276" i="1"/>
  <c r="J276" i="1" s="1"/>
  <c r="H269" i="1"/>
  <c r="F269" i="1"/>
  <c r="J269" i="1" s="1"/>
  <c r="E90" i="1"/>
  <c r="H90" i="1" s="1"/>
  <c r="H245" i="1"/>
  <c r="F245" i="1"/>
  <c r="J245" i="1" s="1"/>
  <c r="E243" i="1"/>
  <c r="H243" i="1" s="1"/>
  <c r="E223" i="1"/>
  <c r="H223" i="1" s="1"/>
  <c r="G191" i="1"/>
  <c r="E191" i="1"/>
  <c r="G183" i="1"/>
  <c r="E183" i="1"/>
  <c r="H183" i="1" s="1"/>
  <c r="H177" i="1"/>
  <c r="F177" i="1"/>
  <c r="J177" i="1" s="1"/>
  <c r="E154" i="1"/>
  <c r="H154" i="1" s="1"/>
  <c r="G154" i="1"/>
  <c r="F77" i="1"/>
  <c r="J77" i="1" s="1"/>
  <c r="F249" i="1"/>
  <c r="J249" i="1" s="1"/>
  <c r="E247" i="1"/>
  <c r="H247" i="1" s="1"/>
  <c r="F208" i="1"/>
  <c r="J208" i="1" s="1"/>
  <c r="F188" i="1"/>
  <c r="J188" i="1" s="1"/>
  <c r="G148" i="1"/>
  <c r="E148" i="1"/>
  <c r="H148" i="1" s="1"/>
  <c r="I310" i="1"/>
  <c r="H367" i="1"/>
  <c r="F367" i="1"/>
  <c r="J367" i="1" s="1"/>
  <c r="E291" i="1"/>
  <c r="H291" i="1" s="1"/>
  <c r="F273" i="1"/>
  <c r="J273" i="1" s="1"/>
  <c r="E271" i="1"/>
  <c r="H271" i="1" s="1"/>
  <c r="F260" i="1"/>
  <c r="J260" i="1" s="1"/>
  <c r="H253" i="1"/>
  <c r="F253" i="1"/>
  <c r="J253" i="1" s="1"/>
  <c r="E251" i="1"/>
  <c r="H251" i="1" s="1"/>
  <c r="E227" i="1"/>
  <c r="F334" i="1"/>
  <c r="J334" i="1" s="1"/>
  <c r="E203" i="1"/>
  <c r="G203" i="1"/>
  <c r="E200" i="1"/>
  <c r="G200" i="1"/>
  <c r="E197" i="1"/>
  <c r="G197" i="1"/>
  <c r="G158" i="1"/>
  <c r="E158" i="1"/>
  <c r="H158" i="1" s="1"/>
  <c r="H210" i="1"/>
  <c r="F210" i="1"/>
  <c r="J210" i="1" s="1"/>
  <c r="G205" i="1"/>
  <c r="E205" i="1"/>
  <c r="H205" i="1" s="1"/>
  <c r="E143" i="1"/>
  <c r="H143" i="1" s="1"/>
  <c r="G143" i="1"/>
  <c r="E315" i="1"/>
  <c r="H145" i="1"/>
  <c r="G303" i="1"/>
  <c r="F301" i="1"/>
  <c r="J301" i="1" s="1"/>
  <c r="E299" i="1"/>
  <c r="H299" i="1" s="1"/>
  <c r="F288" i="1"/>
  <c r="J288" i="1" s="1"/>
  <c r="H277" i="1"/>
  <c r="F277" i="1"/>
  <c r="J277" i="1" s="1"/>
  <c r="E275" i="1"/>
  <c r="H275" i="1" s="1"/>
  <c r="F198" i="1"/>
  <c r="J198" i="1" s="1"/>
  <c r="E255" i="1"/>
  <c r="H255" i="1" s="1"/>
  <c r="F244" i="1"/>
  <c r="J244" i="1" s="1"/>
  <c r="H237" i="1"/>
  <c r="F237" i="1"/>
  <c r="J237" i="1" s="1"/>
  <c r="E235" i="1"/>
  <c r="H235" i="1" s="1"/>
  <c r="I335" i="1"/>
  <c r="G193" i="1"/>
  <c r="E193" i="1"/>
  <c r="E152" i="1"/>
  <c r="H152" i="1" s="1"/>
  <c r="G152" i="1"/>
  <c r="H453" i="1"/>
  <c r="F281" i="1"/>
  <c r="J281" i="1" s="1"/>
  <c r="E279" i="1"/>
  <c r="H279" i="1" s="1"/>
  <c r="E207" i="1"/>
  <c r="H207" i="1" s="1"/>
  <c r="F192" i="1"/>
  <c r="J192" i="1" s="1"/>
  <c r="E165" i="1"/>
  <c r="H165" i="1" s="1"/>
  <c r="G165" i="1"/>
  <c r="I318" i="1"/>
  <c r="G290" i="1"/>
  <c r="G274" i="1"/>
  <c r="H273" i="1"/>
  <c r="G258" i="1"/>
  <c r="H198" i="1"/>
  <c r="I254" i="1"/>
  <c r="G242" i="1"/>
  <c r="H241" i="1"/>
  <c r="G226" i="1"/>
  <c r="I222" i="1"/>
  <c r="I213" i="1"/>
  <c r="F196" i="1"/>
  <c r="J196" i="1" s="1"/>
  <c r="H316" i="1"/>
  <c r="H192" i="1"/>
  <c r="E159" i="1"/>
  <c r="H159" i="1" s="1"/>
  <c r="G159" i="1"/>
  <c r="E155" i="1"/>
  <c r="H155" i="1" s="1"/>
  <c r="E127" i="1"/>
  <c r="H127" i="1" s="1"/>
  <c r="G127" i="1"/>
  <c r="F92" i="1"/>
  <c r="J92" i="1" s="1"/>
  <c r="H92" i="1"/>
  <c r="G74" i="1"/>
  <c r="E74" i="1"/>
  <c r="F218" i="1"/>
  <c r="J218" i="1" s="1"/>
  <c r="F79" i="1"/>
  <c r="J79" i="1" s="1"/>
  <c r="H79" i="1"/>
  <c r="I290" i="1"/>
  <c r="I274" i="1"/>
  <c r="I258" i="1"/>
  <c r="I242" i="1"/>
  <c r="I226" i="1"/>
  <c r="E168" i="1"/>
  <c r="H168" i="1" s="1"/>
  <c r="G168" i="1"/>
  <c r="G164" i="1"/>
  <c r="E164" i="1"/>
  <c r="H164" i="1" s="1"/>
  <c r="F100" i="1"/>
  <c r="J100" i="1" s="1"/>
  <c r="F135" i="1"/>
  <c r="J135" i="1" s="1"/>
  <c r="E175" i="1"/>
  <c r="H175" i="1" s="1"/>
  <c r="G175" i="1"/>
  <c r="E171" i="1"/>
  <c r="H171" i="1" s="1"/>
  <c r="G106" i="1"/>
  <c r="E106" i="1"/>
  <c r="E72" i="1"/>
  <c r="H72" i="1" s="1"/>
  <c r="G72" i="1"/>
  <c r="I294" i="1"/>
  <c r="H281" i="1"/>
  <c r="I278" i="1"/>
  <c r="I262" i="1"/>
  <c r="H249" i="1"/>
  <c r="I246" i="1"/>
  <c r="I230" i="1"/>
  <c r="H214" i="1"/>
  <c r="H208" i="1"/>
  <c r="G199" i="1"/>
  <c r="E199" i="1"/>
  <c r="E187" i="1"/>
  <c r="H187" i="1" s="1"/>
  <c r="G185" i="1"/>
  <c r="E185" i="1"/>
  <c r="F182" i="1"/>
  <c r="J182" i="1" s="1"/>
  <c r="E174" i="1"/>
  <c r="G174" i="1"/>
  <c r="E170" i="1"/>
  <c r="H170" i="1" s="1"/>
  <c r="G170" i="1"/>
  <c r="E141" i="1"/>
  <c r="H141" i="1" s="1"/>
  <c r="G141" i="1"/>
  <c r="E217" i="1"/>
  <c r="H217" i="1" s="1"/>
  <c r="F46" i="1"/>
  <c r="J46" i="1" s="1"/>
  <c r="H46" i="1"/>
  <c r="F111" i="1"/>
  <c r="J111" i="1" s="1"/>
  <c r="H111" i="1"/>
  <c r="J62" i="1"/>
  <c r="I62" i="1"/>
  <c r="F89" i="1"/>
  <c r="J89" i="1" s="1"/>
  <c r="F84" i="1"/>
  <c r="J84" i="1" s="1"/>
  <c r="H84" i="1"/>
  <c r="E64" i="1"/>
  <c r="H64" i="1" s="1"/>
  <c r="G64" i="1"/>
  <c r="G318" i="1"/>
  <c r="G302" i="1"/>
  <c r="G286" i="1"/>
  <c r="G270" i="1"/>
  <c r="G254" i="1"/>
  <c r="I250" i="1"/>
  <c r="G238" i="1"/>
  <c r="I352" i="1"/>
  <c r="G222" i="1"/>
  <c r="H213" i="1"/>
  <c r="G201" i="1"/>
  <c r="E201" i="1"/>
  <c r="I319" i="1"/>
  <c r="H196" i="1"/>
  <c r="G192" i="1"/>
  <c r="G184" i="1"/>
  <c r="E184" i="1"/>
  <c r="H184" i="1" s="1"/>
  <c r="G149" i="1"/>
  <c r="E149" i="1"/>
  <c r="H149" i="1" s="1"/>
  <c r="H128" i="1"/>
  <c r="E125" i="1"/>
  <c r="H125" i="1" s="1"/>
  <c r="G125" i="1"/>
  <c r="F75" i="1"/>
  <c r="J75" i="1" s="1"/>
  <c r="E130" i="1"/>
  <c r="H130" i="1" s="1"/>
  <c r="G130" i="1"/>
  <c r="F110" i="1"/>
  <c r="J110" i="1" s="1"/>
  <c r="H110" i="1"/>
  <c r="E98" i="1"/>
  <c r="H98" i="1" s="1"/>
  <c r="G98" i="1"/>
  <c r="E179" i="1"/>
  <c r="G179" i="1"/>
  <c r="F169" i="1"/>
  <c r="H169" i="1"/>
  <c r="G167" i="1"/>
  <c r="E167" i="1"/>
  <c r="E157" i="1"/>
  <c r="G157" i="1"/>
  <c r="E147" i="1"/>
  <c r="H147" i="1" s="1"/>
  <c r="E136" i="1"/>
  <c r="H136" i="1" s="1"/>
  <c r="F129" i="1"/>
  <c r="H129" i="1"/>
  <c r="I121" i="1"/>
  <c r="E139" i="1"/>
  <c r="E119" i="1"/>
  <c r="H119" i="1" s="1"/>
  <c r="G119" i="1"/>
  <c r="E21" i="1"/>
  <c r="H21" i="1" s="1"/>
  <c r="G21" i="1"/>
  <c r="E13" i="1"/>
  <c r="H13" i="1" s="1"/>
  <c r="G13" i="1"/>
  <c r="E178" i="1"/>
  <c r="H178" i="1" s="1"/>
  <c r="G176" i="1"/>
  <c r="E176" i="1"/>
  <c r="E166" i="1"/>
  <c r="G166" i="1"/>
  <c r="G156" i="1"/>
  <c r="E156" i="1"/>
  <c r="H156" i="1" s="1"/>
  <c r="E146" i="1"/>
  <c r="H146" i="1" s="1"/>
  <c r="G144" i="1"/>
  <c r="E144" i="1"/>
  <c r="J257" i="1"/>
  <c r="I257" i="1"/>
  <c r="F133" i="1"/>
  <c r="J133" i="1" s="1"/>
  <c r="F124" i="1"/>
  <c r="J124" i="1" s="1"/>
  <c r="F194" i="1"/>
  <c r="J194" i="1" s="1"/>
  <c r="E113" i="1"/>
  <c r="H113" i="1" s="1"/>
  <c r="G113" i="1"/>
  <c r="E104" i="1"/>
  <c r="G104" i="1"/>
  <c r="F71" i="1"/>
  <c r="J71" i="1" s="1"/>
  <c r="F91" i="1"/>
  <c r="J91" i="1" s="1"/>
  <c r="G59" i="1"/>
  <c r="E59" i="1"/>
  <c r="F55" i="1"/>
  <c r="H55" i="1"/>
  <c r="H538" i="1"/>
  <c r="H190" i="1"/>
  <c r="E173" i="1"/>
  <c r="H173" i="1" s="1"/>
  <c r="G173" i="1"/>
  <c r="E163" i="1"/>
  <c r="H163" i="1" s="1"/>
  <c r="F153" i="1"/>
  <c r="H153" i="1"/>
  <c r="E151" i="1"/>
  <c r="G151" i="1"/>
  <c r="E142" i="1"/>
  <c r="H142" i="1" s="1"/>
  <c r="I137" i="1"/>
  <c r="E219" i="1"/>
  <c r="H219" i="1" s="1"/>
  <c r="E117" i="1"/>
  <c r="G117" i="1"/>
  <c r="E112" i="1"/>
  <c r="H112" i="1" s="1"/>
  <c r="G112" i="1"/>
  <c r="E109" i="1"/>
  <c r="G109" i="1"/>
  <c r="F103" i="1"/>
  <c r="J103" i="1" s="1"/>
  <c r="G134" i="1"/>
  <c r="E134" i="1"/>
  <c r="H134" i="1" s="1"/>
  <c r="E85" i="1"/>
  <c r="H85" i="1" s="1"/>
  <c r="G58" i="1"/>
  <c r="E58" i="1"/>
  <c r="F73" i="1"/>
  <c r="J73" i="1" s="1"/>
  <c r="E61" i="1"/>
  <c r="H61" i="1" s="1"/>
  <c r="G61" i="1"/>
  <c r="E32" i="1"/>
  <c r="H32" i="1" s="1"/>
  <c r="G32" i="1"/>
  <c r="E8" i="1"/>
  <c r="H8" i="1" s="1"/>
  <c r="G8" i="1"/>
  <c r="E181" i="1"/>
  <c r="G181" i="1"/>
  <c r="G172" i="1"/>
  <c r="E172" i="1"/>
  <c r="E162" i="1"/>
  <c r="H162" i="1" s="1"/>
  <c r="E160" i="1"/>
  <c r="G160" i="1"/>
  <c r="E150" i="1"/>
  <c r="G150" i="1"/>
  <c r="H118" i="1"/>
  <c r="F118" i="1"/>
  <c r="J118" i="1" s="1"/>
  <c r="G132" i="1"/>
  <c r="E132" i="1"/>
  <c r="H132" i="1" s="1"/>
  <c r="E123" i="1"/>
  <c r="F216" i="1"/>
  <c r="H216" i="1"/>
  <c r="F102" i="1"/>
  <c r="J102" i="1" s="1"/>
  <c r="H47" i="1"/>
  <c r="F47" i="1"/>
  <c r="H133" i="1"/>
  <c r="E26" i="1"/>
  <c r="G26" i="1"/>
  <c r="H135" i="1"/>
  <c r="I83" i="1"/>
  <c r="H75" i="1"/>
  <c r="G75" i="1"/>
  <c r="F68" i="1"/>
  <c r="J68" i="1" s="1"/>
  <c r="F54" i="1"/>
  <c r="J54" i="1" s="1"/>
  <c r="H54" i="1"/>
  <c r="F49" i="1"/>
  <c r="J49" i="1" s="1"/>
  <c r="H49" i="1"/>
  <c r="F33" i="1"/>
  <c r="J33" i="1" s="1"/>
  <c r="H33" i="1"/>
  <c r="H15" i="1"/>
  <c r="I15" i="1"/>
  <c r="E304" i="1"/>
  <c r="H304" i="1" s="1"/>
  <c r="I115" i="1"/>
  <c r="H194" i="1"/>
  <c r="G194" i="1"/>
  <c r="F52" i="1"/>
  <c r="J52" i="1" s="1"/>
  <c r="H52" i="1"/>
  <c r="E56" i="1"/>
  <c r="H56" i="1" s="1"/>
  <c r="F51" i="1"/>
  <c r="J51" i="1" s="1"/>
  <c r="E24" i="1"/>
  <c r="H24" i="1" s="1"/>
  <c r="F14" i="1"/>
  <c r="J14" i="1" s="1"/>
  <c r="H14" i="1"/>
  <c r="E122" i="1"/>
  <c r="H122" i="1" s="1"/>
  <c r="G116" i="1"/>
  <c r="E116" i="1"/>
  <c r="E67" i="1"/>
  <c r="H67" i="1" s="1"/>
  <c r="E53" i="1"/>
  <c r="H53" i="1" s="1"/>
  <c r="G53" i="1"/>
  <c r="E48" i="1"/>
  <c r="H48" i="1" s="1"/>
  <c r="E45" i="1"/>
  <c r="H45" i="1" s="1"/>
  <c r="G45" i="1"/>
  <c r="E40" i="1"/>
  <c r="H40" i="1" s="1"/>
  <c r="E37" i="1"/>
  <c r="H37" i="1" s="1"/>
  <c r="G37" i="1"/>
  <c r="E29" i="1"/>
  <c r="G29" i="1"/>
  <c r="H517" i="1"/>
  <c r="I517" i="1"/>
  <c r="I126" i="1"/>
  <c r="G362" i="1"/>
  <c r="E362" i="1"/>
  <c r="G97" i="1"/>
  <c r="E97" i="1"/>
  <c r="G135" i="1"/>
  <c r="G89" i="1"/>
  <c r="H89" i="1"/>
  <c r="H68" i="1"/>
  <c r="G66" i="1"/>
  <c r="E66" i="1"/>
  <c r="H66" i="1" s="1"/>
  <c r="I93" i="1"/>
  <c r="G78" i="1"/>
  <c r="E78" i="1"/>
  <c r="I39" i="1"/>
  <c r="H39" i="1"/>
  <c r="F22" i="1"/>
  <c r="J22" i="1" s="1"/>
  <c r="H22" i="1"/>
  <c r="E16" i="1"/>
  <c r="H16" i="1" s="1"/>
  <c r="G16" i="1"/>
  <c r="F211" i="1"/>
  <c r="J211" i="1" s="1"/>
  <c r="H82" i="1"/>
  <c r="I82" i="1"/>
  <c r="H115" i="1"/>
  <c r="I108" i="1"/>
  <c r="G138" i="1"/>
  <c r="H138" i="1"/>
  <c r="E96" i="1"/>
  <c r="H96" i="1" s="1"/>
  <c r="H83" i="1"/>
  <c r="I101" i="1"/>
  <c r="E69" i="1"/>
  <c r="F57" i="1"/>
  <c r="J57" i="1" s="1"/>
  <c r="E43" i="1"/>
  <c r="H43" i="1" s="1"/>
  <c r="F38" i="1"/>
  <c r="J38" i="1" s="1"/>
  <c r="H38" i="1"/>
  <c r="I31" i="1"/>
  <c r="F70" i="1"/>
  <c r="J70" i="1" s="1"/>
  <c r="H51" i="1"/>
  <c r="E35" i="1"/>
  <c r="H35" i="1" s="1"/>
  <c r="F30" i="1"/>
  <c r="J30" i="1" s="1"/>
  <c r="H30" i="1"/>
  <c r="E42" i="1"/>
  <c r="E34" i="1"/>
  <c r="E50" i="1"/>
  <c r="H50" i="1" s="1"/>
  <c r="E18" i="1"/>
  <c r="H18" i="1" s="1"/>
  <c r="E10" i="1"/>
  <c r="H10" i="1" s="1"/>
  <c r="F28" i="1"/>
  <c r="J28" i="1" s="1"/>
  <c r="E27" i="1"/>
  <c r="H27" i="1" s="1"/>
  <c r="F20" i="1"/>
  <c r="J20" i="1" s="1"/>
  <c r="E19" i="1"/>
  <c r="G111" i="1"/>
  <c r="G103" i="1"/>
  <c r="G95" i="1"/>
  <c r="G87" i="1"/>
  <c r="G79" i="1"/>
  <c r="G71" i="1"/>
  <c r="G93" i="1"/>
  <c r="G55" i="1"/>
  <c r="G47" i="1"/>
  <c r="G39" i="1"/>
  <c r="G31" i="1"/>
  <c r="G517" i="1"/>
  <c r="G15" i="1"/>
  <c r="G82" i="1"/>
  <c r="H42" i="1"/>
  <c r="H34" i="1"/>
  <c r="H5" i="1"/>
  <c r="H285" i="1" l="1"/>
  <c r="F65" i="1"/>
  <c r="J65" i="1" s="1"/>
  <c r="I321" i="1"/>
  <c r="H321" i="1"/>
  <c r="H180" i="1"/>
  <c r="F80" i="1"/>
  <c r="J80" i="1" s="1"/>
  <c r="F240" i="1"/>
  <c r="J240" i="1" s="1"/>
  <c r="F343" i="1"/>
  <c r="J343" i="1" s="1"/>
  <c r="H3" i="1"/>
  <c r="I388" i="1"/>
  <c r="I180" i="1"/>
  <c r="F387" i="1"/>
  <c r="J387" i="1" s="1"/>
  <c r="H206" i="1"/>
  <c r="F308" i="1"/>
  <c r="J308" i="1" s="1"/>
  <c r="H377" i="1"/>
  <c r="I377" i="1"/>
  <c r="I383" i="1"/>
  <c r="I14" i="1"/>
  <c r="F11" i="1"/>
  <c r="J11" i="1" s="1"/>
  <c r="I3" i="1"/>
  <c r="I70" i="1"/>
  <c r="H114" i="1"/>
  <c r="F284" i="1"/>
  <c r="J284" i="1" s="1"/>
  <c r="I208" i="1"/>
  <c r="F339" i="1"/>
  <c r="J339" i="1" s="1"/>
  <c r="H215" i="1"/>
  <c r="I314" i="1"/>
  <c r="H265" i="1"/>
  <c r="F359" i="1"/>
  <c r="J359" i="1" s="1"/>
  <c r="I337" i="1"/>
  <c r="I270" i="1"/>
  <c r="I442" i="1"/>
  <c r="I450" i="1"/>
  <c r="I353" i="1"/>
  <c r="I483" i="1"/>
  <c r="I467" i="1"/>
  <c r="H344" i="1"/>
  <c r="H212" i="1"/>
  <c r="I384" i="1"/>
  <c r="I491" i="1"/>
  <c r="F17" i="1"/>
  <c r="J17" i="1" s="1"/>
  <c r="H9" i="1"/>
  <c r="H105" i="1"/>
  <c r="F248" i="1"/>
  <c r="J248" i="1" s="1"/>
  <c r="H60" i="1"/>
  <c r="F131" i="1"/>
  <c r="J131" i="1" s="1"/>
  <c r="I238" i="1"/>
  <c r="I322" i="1"/>
  <c r="F327" i="1"/>
  <c r="J327" i="1" s="1"/>
  <c r="I320" i="1"/>
  <c r="H491" i="1"/>
  <c r="I507" i="1"/>
  <c r="F25" i="1"/>
  <c r="J25" i="1" s="1"/>
  <c r="I357" i="1"/>
  <c r="H391" i="1"/>
  <c r="H483" i="1"/>
  <c r="I475" i="1"/>
  <c r="I443" i="1"/>
  <c r="H337" i="1"/>
  <c r="I95" i="1"/>
  <c r="H41" i="1"/>
  <c r="I60" i="1"/>
  <c r="I79" i="1"/>
  <c r="F453" i="1"/>
  <c r="J453" i="1" s="1"/>
  <c r="H202" i="1"/>
  <c r="F229" i="1"/>
  <c r="J229" i="1" s="1"/>
  <c r="F236" i="1"/>
  <c r="J236" i="1" s="1"/>
  <c r="H397" i="1"/>
  <c r="H406" i="1"/>
  <c r="H388" i="1"/>
  <c r="H443" i="1"/>
  <c r="H459" i="1"/>
  <c r="H475" i="1"/>
  <c r="H515" i="1"/>
  <c r="H383" i="1"/>
  <c r="F431" i="1"/>
  <c r="J431" i="1" s="1"/>
  <c r="I344" i="1"/>
  <c r="I459" i="1"/>
  <c r="I2" i="1"/>
  <c r="I277" i="1"/>
  <c r="I391" i="1"/>
  <c r="H421" i="1"/>
  <c r="I22" i="1"/>
  <c r="I259" i="1"/>
  <c r="H233" i="1"/>
  <c r="I462" i="1"/>
  <c r="I387" i="1"/>
  <c r="I421" i="1"/>
  <c r="H107" i="1"/>
  <c r="F44" i="1"/>
  <c r="J44" i="1" s="1"/>
  <c r="F220" i="1"/>
  <c r="J220" i="1" s="1"/>
  <c r="H322" i="1"/>
  <c r="H392" i="1"/>
  <c r="H314" i="1"/>
  <c r="F186" i="1"/>
  <c r="J186" i="1" s="1"/>
  <c r="I420" i="1"/>
  <c r="I484" i="1"/>
  <c r="I282" i="1"/>
  <c r="I71" i="1"/>
  <c r="I182" i="1"/>
  <c r="I286" i="1"/>
  <c r="F305" i="1"/>
  <c r="J305" i="1" s="1"/>
  <c r="I269" i="1"/>
  <c r="F120" i="1"/>
  <c r="J120" i="1" s="1"/>
  <c r="F232" i="1"/>
  <c r="J232" i="1" s="1"/>
  <c r="H331" i="1"/>
  <c r="H270" i="1"/>
  <c r="F323" i="1"/>
  <c r="J323" i="1" s="1"/>
  <c r="I428" i="1"/>
  <c r="I418" i="1"/>
  <c r="H282" i="1"/>
  <c r="I281" i="1"/>
  <c r="I253" i="1"/>
  <c r="H259" i="1"/>
  <c r="J265" i="1"/>
  <c r="I265" i="1"/>
  <c r="I4" i="1"/>
  <c r="H225" i="1"/>
  <c r="F256" i="1"/>
  <c r="J256" i="1" s="1"/>
  <c r="F351" i="1"/>
  <c r="J351" i="1" s="1"/>
  <c r="I140" i="1"/>
  <c r="I138" i="1"/>
  <c r="H345" i="1"/>
  <c r="I266" i="1"/>
  <c r="I378" i="1"/>
  <c r="I300" i="1"/>
  <c r="I303" i="1"/>
  <c r="I457" i="1"/>
  <c r="I81" i="1"/>
  <c r="I523" i="1"/>
  <c r="H250" i="1"/>
  <c r="F402" i="1"/>
  <c r="H402" i="1"/>
  <c r="I33" i="1"/>
  <c r="I301" i="1"/>
  <c r="F292" i="1"/>
  <c r="J292" i="1" s="1"/>
  <c r="H523" i="1"/>
  <c r="H318" i="1"/>
  <c r="H353" i="1"/>
  <c r="I9" i="1"/>
  <c r="F268" i="1"/>
  <c r="J268" i="1" s="1"/>
  <c r="I252" i="1"/>
  <c r="I293" i="1"/>
  <c r="I345" i="1"/>
  <c r="I375" i="1"/>
  <c r="I397" i="1"/>
  <c r="I488" i="1"/>
  <c r="H400" i="1"/>
  <c r="I128" i="1"/>
  <c r="I46" i="1"/>
  <c r="I302" i="1"/>
  <c r="I276" i="1"/>
  <c r="I476" i="1"/>
  <c r="I473" i="1"/>
  <c r="H266" i="1"/>
  <c r="I57" i="1"/>
  <c r="I102" i="1"/>
  <c r="I206" i="1"/>
  <c r="I237" i="1"/>
  <c r="I355" i="1"/>
  <c r="I267" i="1"/>
  <c r="I540" i="1"/>
  <c r="H336" i="1"/>
  <c r="F336" i="1"/>
  <c r="I417" i="1"/>
  <c r="F311" i="1"/>
  <c r="J311" i="1" s="1"/>
  <c r="H333" i="1"/>
  <c r="F333" i="1"/>
  <c r="J333" i="1" s="1"/>
  <c r="I103" i="1"/>
  <c r="I298" i="1"/>
  <c r="I244" i="1"/>
  <c r="I240" i="1"/>
  <c r="I249" i="1"/>
  <c r="I225" i="1"/>
  <c r="F363" i="1"/>
  <c r="J363" i="1" s="1"/>
  <c r="I88" i="1"/>
  <c r="I398" i="1"/>
  <c r="I519" i="1"/>
  <c r="I479" i="1"/>
  <c r="I234" i="1"/>
  <c r="I481" i="1"/>
  <c r="I409" i="1"/>
  <c r="I482" i="1"/>
  <c r="I413" i="1"/>
  <c r="F385" i="1"/>
  <c r="J385" i="1" s="1"/>
  <c r="I86" i="1"/>
  <c r="H238" i="1"/>
  <c r="H302" i="1"/>
  <c r="H320" i="1"/>
  <c r="I38" i="1"/>
  <c r="I75" i="1"/>
  <c r="F224" i="1"/>
  <c r="J224" i="1" s="1"/>
  <c r="I23" i="1"/>
  <c r="I436" i="1"/>
  <c r="I508" i="1"/>
  <c r="I425" i="1"/>
  <c r="I161" i="1"/>
  <c r="H94" i="1"/>
  <c r="I94" i="1"/>
  <c r="I107" i="1"/>
  <c r="I100" i="1"/>
  <c r="I198" i="1"/>
  <c r="I288" i="1"/>
  <c r="I284" i="1"/>
  <c r="I77" i="1"/>
  <c r="F289" i="1"/>
  <c r="J289" i="1" s="1"/>
  <c r="I308" i="1"/>
  <c r="I214" i="1"/>
  <c r="I296" i="1"/>
  <c r="I466" i="1"/>
  <c r="I500" i="1"/>
  <c r="I513" i="1"/>
  <c r="I490" i="1"/>
  <c r="F410" i="1"/>
  <c r="H410" i="1"/>
  <c r="H384" i="1"/>
  <c r="I487" i="1"/>
  <c r="I522" i="1"/>
  <c r="H286" i="1"/>
  <c r="I124" i="1"/>
  <c r="I215" i="1"/>
  <c r="I411" i="1"/>
  <c r="I325" i="1"/>
  <c r="I455" i="1"/>
  <c r="I444" i="1"/>
  <c r="I532" i="1"/>
  <c r="H140" i="1"/>
  <c r="F190" i="1"/>
  <c r="J190" i="1" s="1"/>
  <c r="F6" i="1"/>
  <c r="J6" i="1" s="1"/>
  <c r="H298" i="1"/>
  <c r="H375" i="1"/>
  <c r="I211" i="1"/>
  <c r="I114" i="1"/>
  <c r="I133" i="1"/>
  <c r="I196" i="1"/>
  <c r="I192" i="1"/>
  <c r="H311" i="1"/>
  <c r="I245" i="1"/>
  <c r="F309" i="1"/>
  <c r="J309" i="1" s="1"/>
  <c r="I309" i="1"/>
  <c r="F365" i="1"/>
  <c r="J365" i="1" s="1"/>
  <c r="F329" i="1"/>
  <c r="J329" i="1" s="1"/>
  <c r="I12" i="1"/>
  <c r="H349" i="1"/>
  <c r="F349" i="1"/>
  <c r="J349" i="1" s="1"/>
  <c r="I361" i="1"/>
  <c r="I373" i="1"/>
  <c r="F69" i="1"/>
  <c r="J69" i="1" s="1"/>
  <c r="F78" i="1"/>
  <c r="J78" i="1" s="1"/>
  <c r="F29" i="1"/>
  <c r="J29" i="1" s="1"/>
  <c r="F123" i="1"/>
  <c r="J123" i="1" s="1"/>
  <c r="F59" i="1"/>
  <c r="J59" i="1" s="1"/>
  <c r="F174" i="1"/>
  <c r="J174" i="1" s="1"/>
  <c r="F227" i="1"/>
  <c r="J227" i="1" s="1"/>
  <c r="H78" i="1"/>
  <c r="F116" i="1"/>
  <c r="J116" i="1" s="1"/>
  <c r="I68" i="1"/>
  <c r="F181" i="1"/>
  <c r="J181" i="1" s="1"/>
  <c r="H181" i="1"/>
  <c r="F85" i="1"/>
  <c r="J85" i="1" s="1"/>
  <c r="F156" i="1"/>
  <c r="J156" i="1" s="1"/>
  <c r="F139" i="1"/>
  <c r="J139" i="1" s="1"/>
  <c r="I135" i="1"/>
  <c r="F159" i="1"/>
  <c r="J159" i="1" s="1"/>
  <c r="F18" i="1"/>
  <c r="J18" i="1" s="1"/>
  <c r="F16" i="1"/>
  <c r="J16" i="1" s="1"/>
  <c r="I17" i="1"/>
  <c r="F48" i="1"/>
  <c r="J48" i="1" s="1"/>
  <c r="H116" i="1"/>
  <c r="I51" i="1"/>
  <c r="I41" i="1"/>
  <c r="F132" i="1"/>
  <c r="J132" i="1" s="1"/>
  <c r="H160" i="1"/>
  <c r="F160" i="1"/>
  <c r="J160" i="1" s="1"/>
  <c r="F61" i="1"/>
  <c r="J61" i="1" s="1"/>
  <c r="F134" i="1"/>
  <c r="J134" i="1" s="1"/>
  <c r="F142" i="1"/>
  <c r="J142" i="1" s="1"/>
  <c r="F173" i="1"/>
  <c r="J173" i="1" s="1"/>
  <c r="H59" i="1"/>
  <c r="H139" i="1"/>
  <c r="J169" i="1"/>
  <c r="I169" i="1"/>
  <c r="I110" i="1"/>
  <c r="F125" i="1"/>
  <c r="J125" i="1" s="1"/>
  <c r="F184" i="1"/>
  <c r="J184" i="1" s="1"/>
  <c r="I89" i="1"/>
  <c r="I218" i="1"/>
  <c r="F143" i="1"/>
  <c r="J143" i="1" s="1"/>
  <c r="J212" i="1"/>
  <c r="I212" i="1"/>
  <c r="I111" i="1"/>
  <c r="F154" i="1"/>
  <c r="J154" i="1" s="1"/>
  <c r="I236" i="1"/>
  <c r="I241" i="1"/>
  <c r="F338" i="1"/>
  <c r="J338" i="1" s="1"/>
  <c r="F358" i="1"/>
  <c r="J358" i="1" s="1"/>
  <c r="F306" i="1"/>
  <c r="J306" i="1" s="1"/>
  <c r="F63" i="1"/>
  <c r="J63" i="1" s="1"/>
  <c r="I371" i="1"/>
  <c r="F295" i="1"/>
  <c r="J295" i="1" s="1"/>
  <c r="F531" i="1"/>
  <c r="J531" i="1" s="1"/>
  <c r="F382" i="1"/>
  <c r="J382" i="1" s="1"/>
  <c r="F438" i="1"/>
  <c r="J438" i="1" s="1"/>
  <c r="F534" i="1"/>
  <c r="J534" i="1" s="1"/>
  <c r="I439" i="1"/>
  <c r="I504" i="1"/>
  <c r="I524" i="1"/>
  <c r="I405" i="1"/>
  <c r="I433" i="1"/>
  <c r="F50" i="1"/>
  <c r="J50" i="1" s="1"/>
  <c r="F43" i="1"/>
  <c r="J43" i="1" s="1"/>
  <c r="I25" i="1"/>
  <c r="F97" i="1"/>
  <c r="J97" i="1" s="1"/>
  <c r="H97" i="1"/>
  <c r="F37" i="1"/>
  <c r="J37" i="1" s="1"/>
  <c r="F304" i="1"/>
  <c r="J304" i="1" s="1"/>
  <c r="I49" i="1"/>
  <c r="I105" i="1"/>
  <c r="I73" i="1"/>
  <c r="F112" i="1"/>
  <c r="J112" i="1" s="1"/>
  <c r="I91" i="1"/>
  <c r="F113" i="1"/>
  <c r="J113" i="1" s="1"/>
  <c r="F13" i="1"/>
  <c r="J13" i="1" s="1"/>
  <c r="F147" i="1"/>
  <c r="J147" i="1" s="1"/>
  <c r="H185" i="1"/>
  <c r="F185" i="1"/>
  <c r="J185" i="1" s="1"/>
  <c r="F165" i="1"/>
  <c r="J165" i="1" s="1"/>
  <c r="F299" i="1"/>
  <c r="J299" i="1" s="1"/>
  <c r="F205" i="1"/>
  <c r="J205" i="1" s="1"/>
  <c r="F197" i="1"/>
  <c r="J197" i="1" s="1"/>
  <c r="H197" i="1"/>
  <c r="I334" i="1"/>
  <c r="I260" i="1"/>
  <c r="F247" i="1"/>
  <c r="J247" i="1" s="1"/>
  <c r="I177" i="1"/>
  <c r="F90" i="1"/>
  <c r="J90" i="1" s="1"/>
  <c r="F287" i="1"/>
  <c r="J287" i="1" s="1"/>
  <c r="I120" i="1"/>
  <c r="F209" i="1"/>
  <c r="J209" i="1" s="1"/>
  <c r="I221" i="1"/>
  <c r="I272" i="1"/>
  <c r="I351" i="1"/>
  <c r="I347" i="1"/>
  <c r="F328" i="1"/>
  <c r="J328" i="1" s="1"/>
  <c r="I379" i="1"/>
  <c r="F350" i="1"/>
  <c r="J350" i="1" s="1"/>
  <c r="F423" i="1"/>
  <c r="J423" i="1" s="1"/>
  <c r="F372" i="1"/>
  <c r="J372" i="1" s="1"/>
  <c r="F496" i="1"/>
  <c r="J496" i="1" s="1"/>
  <c r="I65" i="1"/>
  <c r="F366" i="1"/>
  <c r="J366" i="1" s="1"/>
  <c r="I331" i="1"/>
  <c r="F401" i="1"/>
  <c r="J401" i="1" s="1"/>
  <c r="F307" i="1"/>
  <c r="J307" i="1" s="1"/>
  <c r="F510" i="1"/>
  <c r="J510" i="1" s="1"/>
  <c r="I463" i="1"/>
  <c r="I498" i="1"/>
  <c r="F162" i="1"/>
  <c r="J162" i="1" s="1"/>
  <c r="F179" i="1"/>
  <c r="J179" i="1" s="1"/>
  <c r="H179" i="1"/>
  <c r="F127" i="1"/>
  <c r="J127" i="1" s="1"/>
  <c r="F291" i="1"/>
  <c r="J291" i="1" s="1"/>
  <c r="F148" i="1"/>
  <c r="J148" i="1" s="1"/>
  <c r="F263" i="1"/>
  <c r="J263" i="1" s="1"/>
  <c r="F414" i="1"/>
  <c r="J414" i="1" s="1"/>
  <c r="F470" i="1"/>
  <c r="J470" i="1" s="1"/>
  <c r="F434" i="1"/>
  <c r="J434" i="1" s="1"/>
  <c r="F368" i="1"/>
  <c r="J368" i="1" s="1"/>
  <c r="H368" i="1"/>
  <c r="F360" i="1"/>
  <c r="J360" i="1" s="1"/>
  <c r="F422" i="1"/>
  <c r="J422" i="1" s="1"/>
  <c r="F486" i="1"/>
  <c r="J486" i="1" s="1"/>
  <c r="F364" i="1"/>
  <c r="J364" i="1" s="1"/>
  <c r="H364" i="1"/>
  <c r="F34" i="1"/>
  <c r="J34" i="1" s="1"/>
  <c r="F8" i="1"/>
  <c r="J8" i="1" s="1"/>
  <c r="F166" i="1"/>
  <c r="J166" i="1" s="1"/>
  <c r="H166" i="1"/>
  <c r="F171" i="1"/>
  <c r="J171" i="1" s="1"/>
  <c r="F152" i="1"/>
  <c r="J152" i="1" s="1"/>
  <c r="F53" i="1"/>
  <c r="J53" i="1" s="1"/>
  <c r="F172" i="1"/>
  <c r="J172" i="1" s="1"/>
  <c r="F58" i="1"/>
  <c r="J58" i="1" s="1"/>
  <c r="F117" i="1"/>
  <c r="J117" i="1" s="1"/>
  <c r="H117" i="1"/>
  <c r="I194" i="1"/>
  <c r="F176" i="1"/>
  <c r="J176" i="1" s="1"/>
  <c r="H176" i="1"/>
  <c r="F157" i="1"/>
  <c r="J157" i="1" s="1"/>
  <c r="I285" i="1"/>
  <c r="F168" i="1"/>
  <c r="J168" i="1" s="1"/>
  <c r="F193" i="1"/>
  <c r="J193" i="1" s="1"/>
  <c r="F275" i="1"/>
  <c r="J275" i="1" s="1"/>
  <c r="F315" i="1"/>
  <c r="J315" i="1" s="1"/>
  <c r="F200" i="1"/>
  <c r="J200" i="1" s="1"/>
  <c r="F243" i="1"/>
  <c r="J243" i="1" s="1"/>
  <c r="F283" i="1"/>
  <c r="J283" i="1" s="1"/>
  <c r="H422" i="1"/>
  <c r="F480" i="1"/>
  <c r="J480" i="1" s="1"/>
  <c r="F416" i="1"/>
  <c r="J416" i="1" s="1"/>
  <c r="F432" i="1"/>
  <c r="J432" i="1" s="1"/>
  <c r="F448" i="1"/>
  <c r="J448" i="1" s="1"/>
  <c r="F464" i="1"/>
  <c r="J464" i="1" s="1"/>
  <c r="F509" i="1"/>
  <c r="J509" i="1" s="1"/>
  <c r="I312" i="1"/>
  <c r="F370" i="1"/>
  <c r="J370" i="1" s="1"/>
  <c r="F386" i="1"/>
  <c r="J386" i="1" s="1"/>
  <c r="F446" i="1"/>
  <c r="J446" i="1" s="1"/>
  <c r="F518" i="1"/>
  <c r="J518" i="1" s="1"/>
  <c r="I495" i="1"/>
  <c r="H496" i="1"/>
  <c r="I536" i="1"/>
  <c r="I529" i="1"/>
  <c r="I441" i="1"/>
  <c r="F19" i="1"/>
  <c r="J19" i="1" s="1"/>
  <c r="F96" i="1"/>
  <c r="J96" i="1" s="1"/>
  <c r="F66" i="1"/>
  <c r="J66" i="1" s="1"/>
  <c r="F56" i="1"/>
  <c r="J56" i="1" s="1"/>
  <c r="F151" i="1"/>
  <c r="J151" i="1" s="1"/>
  <c r="H151" i="1"/>
  <c r="F144" i="1"/>
  <c r="J144" i="1" s="1"/>
  <c r="H144" i="1"/>
  <c r="F74" i="1"/>
  <c r="J74" i="1" s="1"/>
  <c r="F279" i="1"/>
  <c r="J279" i="1" s="1"/>
  <c r="F191" i="1"/>
  <c r="J191" i="1" s="1"/>
  <c r="H191" i="1"/>
  <c r="F42" i="1"/>
  <c r="J42" i="1" s="1"/>
  <c r="I28" i="1"/>
  <c r="F362" i="1"/>
  <c r="J362" i="1" s="1"/>
  <c r="F40" i="1"/>
  <c r="J40" i="1" s="1"/>
  <c r="I44" i="1"/>
  <c r="F21" i="1"/>
  <c r="J21" i="1" s="1"/>
  <c r="J129" i="1"/>
  <c r="I129" i="1"/>
  <c r="F170" i="1"/>
  <c r="J170" i="1" s="1"/>
  <c r="H74" i="1"/>
  <c r="F27" i="1"/>
  <c r="J27" i="1" s="1"/>
  <c r="I30" i="1"/>
  <c r="I20" i="1"/>
  <c r="H362" i="1"/>
  <c r="H29" i="1"/>
  <c r="F67" i="1"/>
  <c r="J67" i="1" s="1"/>
  <c r="F122" i="1"/>
  <c r="J122" i="1" s="1"/>
  <c r="H19" i="1"/>
  <c r="I54" i="1"/>
  <c r="J47" i="1"/>
  <c r="I47" i="1"/>
  <c r="J216" i="1"/>
  <c r="I216" i="1"/>
  <c r="I118" i="1"/>
  <c r="H172" i="1"/>
  <c r="H58" i="1"/>
  <c r="F219" i="1"/>
  <c r="J219" i="1" s="1"/>
  <c r="J153" i="1"/>
  <c r="I153" i="1"/>
  <c r="I80" i="1"/>
  <c r="H157" i="1"/>
  <c r="F130" i="1"/>
  <c r="J130" i="1" s="1"/>
  <c r="I316" i="1"/>
  <c r="F64" i="1"/>
  <c r="J64" i="1" s="1"/>
  <c r="F217" i="1"/>
  <c r="J217" i="1" s="1"/>
  <c r="H174" i="1"/>
  <c r="F187" i="1"/>
  <c r="J187" i="1" s="1"/>
  <c r="I52" i="1"/>
  <c r="F155" i="1"/>
  <c r="J155" i="1" s="1"/>
  <c r="H193" i="1"/>
  <c r="H315" i="1"/>
  <c r="H200" i="1"/>
  <c r="F251" i="1"/>
  <c r="J251" i="1" s="1"/>
  <c r="F271" i="1"/>
  <c r="J271" i="1" s="1"/>
  <c r="I367" i="1"/>
  <c r="I188" i="1"/>
  <c r="I342" i="1"/>
  <c r="F189" i="1"/>
  <c r="J189" i="1" s="1"/>
  <c r="I228" i="1"/>
  <c r="H283" i="1"/>
  <c r="I313" i="1"/>
  <c r="F501" i="1"/>
  <c r="J501" i="1" s="1"/>
  <c r="H501" i="1"/>
  <c r="F403" i="1"/>
  <c r="J403" i="1" s="1"/>
  <c r="H446" i="1"/>
  <c r="I264" i="1"/>
  <c r="F330" i="1"/>
  <c r="J330" i="1" s="1"/>
  <c r="H414" i="1"/>
  <c r="H480" i="1"/>
  <c r="I323" i="1"/>
  <c r="F346" i="1"/>
  <c r="J346" i="1" s="1"/>
  <c r="I317" i="1"/>
  <c r="F404" i="1"/>
  <c r="J404" i="1" s="1"/>
  <c r="F494" i="1"/>
  <c r="J494" i="1" s="1"/>
  <c r="I537" i="1"/>
  <c r="I530" i="1"/>
  <c r="I516" i="1"/>
  <c r="I449" i="1"/>
  <c r="I452" i="1"/>
  <c r="I520" i="1"/>
  <c r="I497" i="1"/>
  <c r="I380" i="1"/>
  <c r="I426" i="1"/>
  <c r="I458" i="1"/>
  <c r="I506" i="1"/>
  <c r="H69" i="1"/>
  <c r="F24" i="1"/>
  <c r="J24" i="1" s="1"/>
  <c r="H26" i="1"/>
  <c r="F26" i="1"/>
  <c r="J26" i="1" s="1"/>
  <c r="H123" i="1"/>
  <c r="F32" i="1"/>
  <c r="J32" i="1" s="1"/>
  <c r="F163" i="1"/>
  <c r="J163" i="1" s="1"/>
  <c r="J55" i="1"/>
  <c r="I55" i="1"/>
  <c r="F146" i="1"/>
  <c r="J146" i="1" s="1"/>
  <c r="F136" i="1"/>
  <c r="J136" i="1" s="1"/>
  <c r="F167" i="1"/>
  <c r="J167" i="1" s="1"/>
  <c r="H167" i="1"/>
  <c r="F149" i="1"/>
  <c r="J149" i="1" s="1"/>
  <c r="F199" i="1"/>
  <c r="J199" i="1" s="1"/>
  <c r="H199" i="1"/>
  <c r="F72" i="1"/>
  <c r="J72" i="1" s="1"/>
  <c r="F175" i="1"/>
  <c r="J175" i="1" s="1"/>
  <c r="F207" i="1"/>
  <c r="J207" i="1" s="1"/>
  <c r="F235" i="1"/>
  <c r="J235" i="1" s="1"/>
  <c r="F255" i="1"/>
  <c r="J255" i="1" s="1"/>
  <c r="H227" i="1"/>
  <c r="I273" i="1"/>
  <c r="F183" i="1"/>
  <c r="J183" i="1" s="1"/>
  <c r="F223" i="1"/>
  <c r="J223" i="1" s="1"/>
  <c r="F195" i="1"/>
  <c r="J195" i="1" s="1"/>
  <c r="I204" i="1"/>
  <c r="F447" i="1"/>
  <c r="J447" i="1" s="1"/>
  <c r="F76" i="1"/>
  <c r="J76" i="1" s="1"/>
  <c r="I327" i="1"/>
  <c r="F356" i="1"/>
  <c r="J356" i="1" s="1"/>
  <c r="I233" i="1"/>
  <c r="F354" i="1"/>
  <c r="J354" i="1" s="1"/>
  <c r="I343" i="1"/>
  <c r="I210" i="1"/>
  <c r="F348" i="1"/>
  <c r="J348" i="1" s="1"/>
  <c r="I511" i="1"/>
  <c r="F528" i="1"/>
  <c r="J528" i="1" s="1"/>
  <c r="F465" i="1"/>
  <c r="J465" i="1" s="1"/>
  <c r="F374" i="1"/>
  <c r="J374" i="1" s="1"/>
  <c r="F340" i="1"/>
  <c r="J340" i="1" s="1"/>
  <c r="F460" i="1"/>
  <c r="J460" i="1" s="1"/>
  <c r="F430" i="1"/>
  <c r="J430" i="1" s="1"/>
  <c r="I471" i="1"/>
  <c r="I415" i="1"/>
  <c r="H464" i="1"/>
  <c r="H509" i="1"/>
  <c r="H528" i="1"/>
  <c r="F10" i="1"/>
  <c r="J10" i="1" s="1"/>
  <c r="F109" i="1"/>
  <c r="J109" i="1" s="1"/>
  <c r="H109" i="1"/>
  <c r="F104" i="1"/>
  <c r="J104" i="1" s="1"/>
  <c r="H104" i="1"/>
  <c r="F178" i="1"/>
  <c r="J178" i="1" s="1"/>
  <c r="F119" i="1"/>
  <c r="J119" i="1" s="1"/>
  <c r="F98" i="1"/>
  <c r="J98" i="1" s="1"/>
  <c r="F203" i="1"/>
  <c r="J203" i="1" s="1"/>
  <c r="H203" i="1"/>
  <c r="F231" i="1"/>
  <c r="J231" i="1" s="1"/>
  <c r="H195" i="1"/>
  <c r="F454" i="1"/>
  <c r="J454" i="1" s="1"/>
  <c r="F526" i="1"/>
  <c r="J526" i="1" s="1"/>
  <c r="I412" i="1"/>
  <c r="F45" i="1"/>
  <c r="J45" i="1" s="1"/>
  <c r="F150" i="1"/>
  <c r="J150" i="1" s="1"/>
  <c r="H150" i="1"/>
  <c r="F106" i="1"/>
  <c r="J106" i="1" s="1"/>
  <c r="F158" i="1"/>
  <c r="J158" i="1" s="1"/>
  <c r="F35" i="1"/>
  <c r="J35" i="1" s="1"/>
  <c r="H201" i="1"/>
  <c r="F201" i="1"/>
  <c r="J201" i="1" s="1"/>
  <c r="I84" i="1"/>
  <c r="F141" i="1"/>
  <c r="J141" i="1" s="1"/>
  <c r="H106" i="1"/>
  <c r="F164" i="1"/>
  <c r="J164" i="1" s="1"/>
  <c r="I92" i="1"/>
  <c r="I202" i="1"/>
  <c r="I538" i="1"/>
  <c r="F341" i="1"/>
  <c r="J341" i="1" s="1"/>
  <c r="F239" i="1"/>
  <c r="J239" i="1" s="1"/>
  <c r="I261" i="1"/>
  <c r="F326" i="1"/>
  <c r="J326" i="1" s="1"/>
  <c r="F424" i="1"/>
  <c r="J424" i="1" s="1"/>
  <c r="F542" i="1"/>
  <c r="J542" i="1" s="1"/>
  <c r="F456" i="1"/>
  <c r="J456" i="1" s="1"/>
  <c r="F472" i="1"/>
  <c r="J472" i="1" s="1"/>
  <c r="F512" i="1"/>
  <c r="J512" i="1" s="1"/>
  <c r="F376" i="1"/>
  <c r="J376" i="1" s="1"/>
  <c r="F324" i="1"/>
  <c r="J324" i="1" s="1"/>
  <c r="H324" i="1"/>
  <c r="F478" i="1"/>
  <c r="J478" i="1" s="1"/>
  <c r="F502" i="1"/>
  <c r="J502" i="1" s="1"/>
  <c r="H526" i="1"/>
  <c r="H306" i="1"/>
  <c r="I492" i="1"/>
  <c r="I474" i="1"/>
  <c r="I36" i="1"/>
  <c r="I453" i="1" l="1"/>
  <c r="I63" i="1"/>
  <c r="I146" i="1"/>
  <c r="I42" i="1"/>
  <c r="I11" i="1"/>
  <c r="I78" i="1"/>
  <c r="I363" i="1"/>
  <c r="I365" i="1"/>
  <c r="I305" i="1"/>
  <c r="I328" i="1"/>
  <c r="I229" i="1"/>
  <c r="I339" i="1"/>
  <c r="I359" i="1"/>
  <c r="I220" i="1"/>
  <c r="I431" i="1"/>
  <c r="I165" i="1"/>
  <c r="I275" i="1"/>
  <c r="I248" i="1"/>
  <c r="I181" i="1"/>
  <c r="I131" i="1"/>
  <c r="I232" i="1"/>
  <c r="I271" i="1"/>
  <c r="I37" i="1"/>
  <c r="I255" i="1"/>
  <c r="I424" i="1"/>
  <c r="I403" i="1"/>
  <c r="I307" i="1"/>
  <c r="I423" i="1"/>
  <c r="I256" i="1"/>
  <c r="I531" i="1"/>
  <c r="I109" i="1"/>
  <c r="I155" i="1"/>
  <c r="I157" i="1"/>
  <c r="I268" i="1"/>
  <c r="I136" i="1"/>
  <c r="I187" i="1"/>
  <c r="I176" i="1"/>
  <c r="I152" i="1"/>
  <c r="I364" i="1"/>
  <c r="I186" i="1"/>
  <c r="I16" i="1"/>
  <c r="I174" i="1"/>
  <c r="I512" i="1"/>
  <c r="I26" i="1"/>
  <c r="I132" i="1"/>
  <c r="I239" i="1"/>
  <c r="I164" i="1"/>
  <c r="I106" i="1"/>
  <c r="I64" i="1"/>
  <c r="I219" i="1"/>
  <c r="I40" i="1"/>
  <c r="I279" i="1"/>
  <c r="I56" i="1"/>
  <c r="I193" i="1"/>
  <c r="I171" i="1"/>
  <c r="I48" i="1"/>
  <c r="I456" i="1"/>
  <c r="I341" i="1"/>
  <c r="I104" i="1"/>
  <c r="I223" i="1"/>
  <c r="I32" i="1"/>
  <c r="I74" i="1"/>
  <c r="I66" i="1"/>
  <c r="I200" i="1"/>
  <c r="I50" i="1"/>
  <c r="J336" i="1"/>
  <c r="I336" i="1"/>
  <c r="I45" i="1"/>
  <c r="I72" i="1"/>
  <c r="I446" i="1"/>
  <c r="I8" i="1"/>
  <c r="I360" i="1"/>
  <c r="I299" i="1"/>
  <c r="I358" i="1"/>
  <c r="I173" i="1"/>
  <c r="I385" i="1"/>
  <c r="J402" i="1"/>
  <c r="I402" i="1"/>
  <c r="I119" i="1"/>
  <c r="I189" i="1"/>
  <c r="I127" i="1"/>
  <c r="I510" i="1"/>
  <c r="I97" i="1"/>
  <c r="I292" i="1"/>
  <c r="I29" i="1"/>
  <c r="I178" i="1"/>
  <c r="I478" i="1"/>
  <c r="I454" i="1"/>
  <c r="I98" i="1"/>
  <c r="I447" i="1"/>
  <c r="I346" i="1"/>
  <c r="I217" i="1"/>
  <c r="I434" i="1"/>
  <c r="I90" i="1"/>
  <c r="I13" i="1"/>
  <c r="I43" i="1"/>
  <c r="I139" i="1"/>
  <c r="I349" i="1"/>
  <c r="I224" i="1"/>
  <c r="I416" i="1"/>
  <c r="I150" i="1"/>
  <c r="I231" i="1"/>
  <c r="I430" i="1"/>
  <c r="I235" i="1"/>
  <c r="I199" i="1"/>
  <c r="I494" i="1"/>
  <c r="I501" i="1"/>
  <c r="I480" i="1"/>
  <c r="I166" i="1"/>
  <c r="I414" i="1"/>
  <c r="I160" i="1"/>
  <c r="I227" i="1"/>
  <c r="I333" i="1"/>
  <c r="I6" i="1"/>
  <c r="I311" i="1"/>
  <c r="I348" i="1"/>
  <c r="I76" i="1"/>
  <c r="I163" i="1"/>
  <c r="I24" i="1"/>
  <c r="I509" i="1"/>
  <c r="I350" i="1"/>
  <c r="I295" i="1"/>
  <c r="I69" i="1"/>
  <c r="I329" i="1"/>
  <c r="I502" i="1"/>
  <c r="I203" i="1"/>
  <c r="I340" i="1"/>
  <c r="I96" i="1"/>
  <c r="I283" i="1"/>
  <c r="I148" i="1"/>
  <c r="I190" i="1"/>
  <c r="J410" i="1"/>
  <c r="I410" i="1"/>
  <c r="I289" i="1"/>
  <c r="I472" i="1"/>
  <c r="I149" i="1"/>
  <c r="I144" i="1"/>
  <c r="I370" i="1"/>
  <c r="I324" i="1"/>
  <c r="I201" i="1"/>
  <c r="I356" i="1"/>
  <c r="I175" i="1"/>
  <c r="I67" i="1"/>
  <c r="I170" i="1"/>
  <c r="I191" i="1"/>
  <c r="I518" i="1"/>
  <c r="I432" i="1"/>
  <c r="I243" i="1"/>
  <c r="I172" i="1"/>
  <c r="I368" i="1"/>
  <c r="I366" i="1"/>
  <c r="I205" i="1"/>
  <c r="I185" i="1"/>
  <c r="I112" i="1"/>
  <c r="I438" i="1"/>
  <c r="I338" i="1"/>
  <c r="I134" i="1"/>
  <c r="I18" i="1"/>
  <c r="I156" i="1"/>
  <c r="I116" i="1"/>
  <c r="I123" i="1"/>
  <c r="I263" i="1"/>
  <c r="I209" i="1"/>
  <c r="I247" i="1"/>
  <c r="I147" i="1"/>
  <c r="I184" i="1"/>
  <c r="I61" i="1"/>
  <c r="I85" i="1"/>
  <c r="I374" i="1"/>
  <c r="I195" i="1"/>
  <c r="I404" i="1"/>
  <c r="I330" i="1"/>
  <c r="I151" i="1"/>
  <c r="I19" i="1"/>
  <c r="I376" i="1"/>
  <c r="I542" i="1"/>
  <c r="I168" i="1"/>
  <c r="I53" i="1"/>
  <c r="I486" i="1"/>
  <c r="I179" i="1"/>
  <c r="I496" i="1"/>
  <c r="I382" i="1"/>
  <c r="I159" i="1"/>
  <c r="I35" i="1"/>
  <c r="I167" i="1"/>
  <c r="I362" i="1"/>
  <c r="I141" i="1"/>
  <c r="I158" i="1"/>
  <c r="I10" i="1"/>
  <c r="I465" i="1"/>
  <c r="I251" i="1"/>
  <c r="I130" i="1"/>
  <c r="I21" i="1"/>
  <c r="I386" i="1"/>
  <c r="I464" i="1"/>
  <c r="I315" i="1"/>
  <c r="I117" i="1"/>
  <c r="I422" i="1"/>
  <c r="I162" i="1"/>
  <c r="I401" i="1"/>
  <c r="I372" i="1"/>
  <c r="I287" i="1"/>
  <c r="I306" i="1"/>
  <c r="I143" i="1"/>
  <c r="I125" i="1"/>
  <c r="I291" i="1"/>
  <c r="I113" i="1"/>
  <c r="I304" i="1"/>
  <c r="I154" i="1"/>
  <c r="I142" i="1"/>
  <c r="I460" i="1"/>
  <c r="I354" i="1"/>
  <c r="I183" i="1"/>
  <c r="I207" i="1"/>
  <c r="I27" i="1"/>
  <c r="I448" i="1"/>
  <c r="I34" i="1"/>
  <c r="I470" i="1"/>
  <c r="I526" i="1"/>
  <c r="I528" i="1"/>
  <c r="I122" i="1"/>
  <c r="I326" i="1"/>
  <c r="I58" i="1"/>
  <c r="I197" i="1"/>
  <c r="I534" i="1"/>
  <c r="I59" i="1"/>
</calcChain>
</file>

<file path=xl/connections.xml><?xml version="1.0" encoding="utf-8"?>
<connections xmlns="http://schemas.openxmlformats.org/spreadsheetml/2006/main">
  <connection id="1" name="gamewindowlist" type="6" refreshedVersion="4" background="1" saveData="1">
    <textPr codePage="850" sourceFile="C:\Temp\gamewindowlist.txt" decimal="," thousands=".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<sst xmlns="http://schemas.openxmlformats.org/spreadsheetml/2006/main" count="1193" uniqueCount="670">
  <si>
    <t xml:space="preserve">auntrose1.agd </t>
  </si>
  <si>
    <t xml:space="preserve">ELONMJP.agd   </t>
  </si>
  <si>
    <t xml:space="preserve">trasmoz.agd   </t>
  </si>
  <si>
    <t xml:space="preserve">knights.agd   </t>
  </si>
  <si>
    <t xml:space="preserve">shining.agd   </t>
  </si>
  <si>
    <t xml:space="preserve">bombbomb.agd  </t>
  </si>
  <si>
    <t xml:space="preserve">aeon1.agd     </t>
  </si>
  <si>
    <t xml:space="preserve">aeon2.agd     </t>
  </si>
  <si>
    <t xml:space="preserve">aeon3.agd     </t>
  </si>
  <si>
    <t xml:space="preserve">aeon4.agd     </t>
  </si>
  <si>
    <t xml:space="preserve">albert.agd    </t>
  </si>
  <si>
    <t xml:space="preserve">ALIEN.agd     </t>
  </si>
  <si>
    <t xml:space="preserve">ninja1.agd    </t>
  </si>
  <si>
    <t xml:space="preserve">akane.agd     </t>
  </si>
  <si>
    <t xml:space="preserve">ninja2.agd    </t>
  </si>
  <si>
    <t xml:space="preserve">allhallows.agd              </t>
  </si>
  <si>
    <t xml:space="preserve">andysescape.agd             </t>
  </si>
  <si>
    <t xml:space="preserve">shootingtime.agd            </t>
  </si>
  <si>
    <t xml:space="preserve">angrybirds.agd              </t>
  </si>
  <si>
    <t xml:space="preserve">antiquity.agd </t>
  </si>
  <si>
    <t xml:space="preserve">penelope.agd  </t>
  </si>
  <si>
    <t xml:space="preserve">thunder.agd   </t>
  </si>
  <si>
    <t xml:space="preserve">astronaut.agd </t>
  </si>
  <si>
    <t xml:space="preserve">astrosmash.agd              </t>
  </si>
  <si>
    <t xml:space="preserve">ATICTEST.AGD  </t>
  </si>
  <si>
    <t xml:space="preserve">GHERBERT.agd  </t>
  </si>
  <si>
    <t xml:space="preserve">b-squared.agd </t>
  </si>
  <si>
    <t xml:space="preserve">babmonalba.agd              </t>
  </si>
  <si>
    <t xml:space="preserve">baffo.agd     </t>
  </si>
  <si>
    <t xml:space="preserve">baldy.agd     </t>
  </si>
  <si>
    <t xml:space="preserve">balloon.agd   </t>
  </si>
  <si>
    <t xml:space="preserve">jankyjoe.agd  </t>
  </si>
  <si>
    <t xml:space="preserve">battletank.agd              </t>
  </si>
  <si>
    <t xml:space="preserve">bbros.agd     </t>
  </si>
  <si>
    <t xml:space="preserve">DKRELAG.agd   </t>
  </si>
  <si>
    <t xml:space="preserve">BEANBROS.AGD  </t>
  </si>
  <si>
    <t xml:space="preserve">springbot.agd </t>
  </si>
  <si>
    <t xml:space="preserve">starsgum.agd  </t>
  </si>
  <si>
    <t xml:space="preserve">OCTO.agd      </t>
  </si>
  <si>
    <t xml:space="preserve">SBOT13.agd    </t>
  </si>
  <si>
    <t xml:space="preserve">ziona1.agd    </t>
  </si>
  <si>
    <t xml:space="preserve">ZXSMISSN.agd  </t>
  </si>
  <si>
    <t xml:space="preserve">beingleft.agd </t>
  </si>
  <si>
    <t xml:space="preserve">BennysEscape2.AGD           </t>
  </si>
  <si>
    <t xml:space="preserve">bigjavi.agd   </t>
  </si>
  <si>
    <t xml:space="preserve">BILQUEST.AGD  </t>
  </si>
  <si>
    <t xml:space="preserve">witch.agd     </t>
  </si>
  <si>
    <t xml:space="preserve">sih.agd       </t>
  </si>
  <si>
    <t xml:space="preserve">binary.agd    </t>
  </si>
  <si>
    <t xml:space="preserve">big.agd       </t>
  </si>
  <si>
    <t xml:space="preserve">BLOCKS.AGD    </t>
  </si>
  <si>
    <t xml:space="preserve">bob1.agd      </t>
  </si>
  <si>
    <t xml:space="preserve">bob2.agd      </t>
  </si>
  <si>
    <t xml:space="preserve">bob3.agd      </t>
  </si>
  <si>
    <t xml:space="preserve">bob4.agd      </t>
  </si>
  <si>
    <t xml:space="preserve">BOBBLOB.AGD   </t>
  </si>
  <si>
    <t xml:space="preserve">bobjetpac.agd </t>
  </si>
  <si>
    <t xml:space="preserve">bobsummer.agd </t>
  </si>
  <si>
    <t xml:space="preserve">bosconian.agd </t>
  </si>
  <si>
    <t xml:space="preserve">BOTFLOAT.AGD  </t>
  </si>
  <si>
    <t xml:space="preserve">boxes.agd     </t>
  </si>
  <si>
    <t xml:space="preserve">bracer.agd    </t>
  </si>
  <si>
    <t xml:space="preserve">breakanoid.agd              </t>
  </si>
  <si>
    <t xml:space="preserve">brickracer.agd              </t>
  </si>
  <si>
    <t xml:space="preserve">bean.agd      </t>
  </si>
  <si>
    <t xml:space="preserve">btank3d.agd   </t>
  </si>
  <si>
    <t xml:space="preserve">buggy.agd     </t>
  </si>
  <si>
    <t xml:space="preserve">bumber.agd    </t>
  </si>
  <si>
    <t xml:space="preserve">caps1.agd     </t>
  </si>
  <si>
    <t xml:space="preserve">caps2.agd     </t>
  </si>
  <si>
    <t xml:space="preserve">caps3.agd     </t>
  </si>
  <si>
    <t xml:space="preserve">striker-co.agd              </t>
  </si>
  <si>
    <t xml:space="preserve">castlecapers.agd            </t>
  </si>
  <si>
    <t xml:space="preserve">castlesorrow.agd            </t>
  </si>
  <si>
    <t xml:space="preserve">cat1a.agd     </t>
  </si>
  <si>
    <t xml:space="preserve">cat1b.agd     </t>
  </si>
  <si>
    <t xml:space="preserve">cat1c.agd     </t>
  </si>
  <si>
    <t xml:space="preserve">CATCHARE.AGD  </t>
  </si>
  <si>
    <t xml:space="preserve">cattivik.agd  </t>
  </si>
  <si>
    <t xml:space="preserve">cattivik2.agd </t>
  </si>
  <si>
    <t xml:space="preserve">CH3.agd       </t>
  </si>
  <si>
    <t xml:space="preserve">CH5.agd       </t>
  </si>
  <si>
    <t xml:space="preserve">chaos.agd     </t>
  </si>
  <si>
    <t xml:space="preserve">CHERRY68.AGD  </t>
  </si>
  <si>
    <t xml:space="preserve">chopperdrop.agd             </t>
  </si>
  <si>
    <t xml:space="preserve">chunkzone.AGD </t>
  </si>
  <si>
    <t xml:space="preserve">circuitry.agd </t>
  </si>
  <si>
    <t xml:space="preserve">code-zero.agd </t>
  </si>
  <si>
    <t xml:space="preserve">collision.agd </t>
  </si>
  <si>
    <t xml:space="preserve">cronopios.agd </t>
  </si>
  <si>
    <t xml:space="preserve">cybermania.agd              </t>
  </si>
  <si>
    <t xml:space="preserve">b2.agd        </t>
  </si>
  <si>
    <t xml:space="preserve">b1.agd        </t>
  </si>
  <si>
    <t xml:space="preserve">kopalni.agd   </t>
  </si>
  <si>
    <t xml:space="preserve">mrhair-adv.agd              </t>
  </si>
  <si>
    <t xml:space="preserve">darktricks.agd              </t>
  </si>
  <si>
    <t xml:space="preserve">davey.agd     </t>
  </si>
  <si>
    <t xml:space="preserve">dbubble.agd   </t>
  </si>
  <si>
    <t xml:space="preserve">NINJAP2.agd   </t>
  </si>
  <si>
    <t xml:space="preserve">andrexoid.agd </t>
  </si>
  <si>
    <t xml:space="preserve">fp.agd        </t>
  </si>
  <si>
    <t xml:space="preserve">deadzone.agd  </t>
  </si>
  <si>
    <t xml:space="preserve">bunny.agd     </t>
  </si>
  <si>
    <t xml:space="preserve">dfb.agd       </t>
  </si>
  <si>
    <t xml:space="preserve">EARTHST.agd   </t>
  </si>
  <si>
    <t xml:space="preserve">dirtydozer.agd              </t>
  </si>
  <si>
    <t xml:space="preserve">lastescape.agd              </t>
  </si>
  <si>
    <t xml:space="preserve">3octopuses1.agd             </t>
  </si>
  <si>
    <t xml:space="preserve">moonranger.agd              </t>
  </si>
  <si>
    <t xml:space="preserve">dkjr.agd      </t>
  </si>
  <si>
    <t xml:space="preserve">hairyfly.agd  </t>
  </si>
  <si>
    <t xml:space="preserve">dkjr2.agd     </t>
  </si>
  <si>
    <t xml:space="preserve">NITAIR.agd    </t>
  </si>
  <si>
    <t xml:space="preserve">dkreload.agd  </t>
  </si>
  <si>
    <t xml:space="preserve">dkreload2.agd </t>
  </si>
  <si>
    <t xml:space="preserve">doodlebug.agd </t>
  </si>
  <si>
    <t xml:space="preserve">doompit1.agd  </t>
  </si>
  <si>
    <t xml:space="preserve">doompit2.agd  </t>
  </si>
  <si>
    <t xml:space="preserve">doompit3.agd  </t>
  </si>
  <si>
    <t xml:space="preserve">DRAGNWAG.AGD  </t>
  </si>
  <si>
    <t xml:space="preserve">dragonfire.agd              </t>
  </si>
  <si>
    <t xml:space="preserve">draider.agd   </t>
  </si>
  <si>
    <t xml:space="preserve">DROIDBUS.AGD  </t>
  </si>
  <si>
    <t xml:space="preserve">droidbuster.agd             </t>
  </si>
  <si>
    <t xml:space="preserve">dynamite.agd  </t>
  </si>
  <si>
    <t xml:space="preserve">earthstill.agd              </t>
  </si>
  <si>
    <t xml:space="preserve">egger.agd     </t>
  </si>
  <si>
    <t xml:space="preserve">eggerland.agd </t>
  </si>
  <si>
    <t xml:space="preserve">STARSGUM3.agd </t>
  </si>
  <si>
    <t xml:space="preserve">jerrys3.agd   </t>
  </si>
  <si>
    <t xml:space="preserve">elonm.agd     </t>
  </si>
  <si>
    <t xml:space="preserve">blacksea.agd  </t>
  </si>
  <si>
    <t xml:space="preserve">chubby.agd    </t>
  </si>
  <si>
    <t xml:space="preserve">eryx.agd      </t>
  </si>
  <si>
    <t xml:space="preserve">escape.agd    </t>
  </si>
  <si>
    <t xml:space="preserve">witch2.agd    </t>
  </si>
  <si>
    <t xml:space="preserve">invasion.agd  </t>
  </si>
  <si>
    <t xml:space="preserve">devil.agd     </t>
  </si>
  <si>
    <t xml:space="preserve">fbuster.agd   </t>
  </si>
  <si>
    <t xml:space="preserve">FIXED.agd     </t>
  </si>
  <si>
    <t xml:space="preserve">flappyghost.agd             </t>
  </si>
  <si>
    <t xml:space="preserve">adagger.agd   </t>
  </si>
  <si>
    <t xml:space="preserve">frantic.agd   </t>
  </si>
  <si>
    <t xml:space="preserve">codg.agd      </t>
  </si>
  <si>
    <t xml:space="preserve">flihorace.agd </t>
  </si>
  <si>
    <t xml:space="preserve">FOGBW.AGD     </t>
  </si>
  <si>
    <t xml:space="preserve">FOGCO.AGD     </t>
  </si>
  <si>
    <t xml:space="preserve">DCASTLE.agd   </t>
  </si>
  <si>
    <t xml:space="preserve">frenzy.agd    </t>
  </si>
  <si>
    <t xml:space="preserve">fungus.agd    </t>
  </si>
  <si>
    <t xml:space="preserve">FUNGUS1.AGD   </t>
  </si>
  <si>
    <t xml:space="preserve">fungus2.agd   </t>
  </si>
  <si>
    <t xml:space="preserve">fungus3.agd   </t>
  </si>
  <si>
    <t xml:space="preserve">fungus4.agd   </t>
  </si>
  <si>
    <t xml:space="preserve">FUNNY.AGD     </t>
  </si>
  <si>
    <t xml:space="preserve">g.a.ufo.agd   </t>
  </si>
  <si>
    <t xml:space="preserve">generacio.agd </t>
  </si>
  <si>
    <t xml:space="preserve">gifthunt.agd  </t>
  </si>
  <si>
    <t xml:space="preserve">gnoni.agd     </t>
  </si>
  <si>
    <t xml:space="preserve">GREENROOM.AGD </t>
  </si>
  <si>
    <t xml:space="preserve">goblin1.agd   </t>
  </si>
  <si>
    <t xml:space="preserve">MIREMARE2.agd </t>
  </si>
  <si>
    <t xml:space="preserve">grumpy.agd    </t>
  </si>
  <si>
    <t xml:space="preserve">gummi.agd     </t>
  </si>
  <si>
    <t xml:space="preserve">gunbuggy.agd  </t>
  </si>
  <si>
    <t xml:space="preserve">happysprout.agd             </t>
  </si>
  <si>
    <t xml:space="preserve">hedgehog.agd  </t>
  </si>
  <si>
    <t xml:space="preserve">hero-bl.agd   </t>
  </si>
  <si>
    <t xml:space="preserve">hero-wh.agd   </t>
  </si>
  <si>
    <t xml:space="preserve">chiquito.agd  </t>
  </si>
  <si>
    <t xml:space="preserve">higgy.agd     </t>
  </si>
  <si>
    <t xml:space="preserve">mojoni.agd    </t>
  </si>
  <si>
    <t xml:space="preserve">hopnfrog.agd  </t>
  </si>
  <si>
    <t xml:space="preserve">hyperkill.agd </t>
  </si>
  <si>
    <t xml:space="preserve">iceslider.agd </t>
  </si>
  <si>
    <t xml:space="preserve">ijones.agd    </t>
  </si>
  <si>
    <t xml:space="preserve">TSTWATER.agd  </t>
  </si>
  <si>
    <t xml:space="preserve">danterrifik2.agd            </t>
  </si>
  <si>
    <t xml:space="preserve">miremare.agd  </t>
  </si>
  <si>
    <t xml:space="preserve">imposs.agd    </t>
  </si>
  <si>
    <t xml:space="preserve">jason-hero4.agd             </t>
  </si>
  <si>
    <t xml:space="preserve">darkcastle.agd              </t>
  </si>
  <si>
    <t xml:space="preserve">invaders.agd  </t>
  </si>
  <si>
    <t xml:space="preserve">MIREMARE3.agd </t>
  </si>
  <si>
    <t xml:space="preserve">janediamond.agd             </t>
  </si>
  <si>
    <t xml:space="preserve">janemarmelade.agd           </t>
  </si>
  <si>
    <t xml:space="preserve">janezedin.agd </t>
  </si>
  <si>
    <t xml:space="preserve">jba.agd       </t>
  </si>
  <si>
    <t xml:space="preserve">mrhair-fly.agd              </t>
  </si>
  <si>
    <t xml:space="preserve">JOEYJUMP.AGD  </t>
  </si>
  <si>
    <t xml:space="preserve">jswa.agd      </t>
  </si>
  <si>
    <t xml:space="preserve">JUMP.agd      </t>
  </si>
  <si>
    <t xml:space="preserve">jumpcollision.agd           </t>
  </si>
  <si>
    <t xml:space="preserve">jungle.agd    </t>
  </si>
  <si>
    <t xml:space="preserve">kanga.agd     </t>
  </si>
  <si>
    <t xml:space="preserve">kazan.agd     </t>
  </si>
  <si>
    <t xml:space="preserve">kc2.agd       </t>
  </si>
  <si>
    <t xml:space="preserve">killerbees.agd              </t>
  </si>
  <si>
    <t xml:space="preserve">knight-w.agd  </t>
  </si>
  <si>
    <t xml:space="preserve">kong1.agd     </t>
  </si>
  <si>
    <t xml:space="preserve">kong1a.agd    </t>
  </si>
  <si>
    <t xml:space="preserve">kong2.agd     </t>
  </si>
  <si>
    <t xml:space="preserve">kong2a.agd    </t>
  </si>
  <si>
    <t xml:space="preserve">krappark.agd  </t>
  </si>
  <si>
    <t xml:space="preserve">vaccine.agd   </t>
  </si>
  <si>
    <t xml:space="preserve">kyd1.agd      </t>
  </si>
  <si>
    <t xml:space="preserve">kyd2.agd      </t>
  </si>
  <si>
    <t xml:space="preserve">kyd3.agd      </t>
  </si>
  <si>
    <t xml:space="preserve">manic.agd     </t>
  </si>
  <si>
    <t xml:space="preserve">ladder.agd    </t>
  </si>
  <si>
    <t xml:space="preserve">laetitia1.agd </t>
  </si>
  <si>
    <t xml:space="preserve">laetitia2.agd </t>
  </si>
  <si>
    <t xml:space="preserve">laetitia3.agd </t>
  </si>
  <si>
    <t xml:space="preserve">laetitia4.agd </t>
  </si>
  <si>
    <t xml:space="preserve">leonardo1.agd </t>
  </si>
  <si>
    <t xml:space="preserve">leonardo2.agd </t>
  </si>
  <si>
    <t xml:space="preserve">leonardo3.agd </t>
  </si>
  <si>
    <t xml:space="preserve">lifebar.agd   </t>
  </si>
  <si>
    <t xml:space="preserve">LINSPACE.AGD  </t>
  </si>
  <si>
    <t xml:space="preserve">littledragon2.agd           </t>
  </si>
  <si>
    <t xml:space="preserve">LLSPCMAN.AGD  </t>
  </si>
  <si>
    <t xml:space="preserve">lostinmyspectrum.agd        </t>
  </si>
  <si>
    <t xml:space="preserve">lostisland.agd              </t>
  </si>
  <si>
    <t xml:space="preserve">LSTHUMAN.AGD  </t>
  </si>
  <si>
    <t xml:space="preserve">LSTISLND.agd  </t>
  </si>
  <si>
    <t xml:space="preserve">lumos.agd     </t>
  </si>
  <si>
    <t xml:space="preserve">forward.agd   </t>
  </si>
  <si>
    <t xml:space="preserve">lupoalberto.agd             </t>
  </si>
  <si>
    <t xml:space="preserve">m48.agd       </t>
  </si>
  <si>
    <t xml:space="preserve">m48k.agd      </t>
  </si>
  <si>
    <t xml:space="preserve">malignant.agd </t>
  </si>
  <si>
    <t xml:space="preserve">mariorun.agd  </t>
  </si>
  <si>
    <t xml:space="preserve">maskdemo.agd  </t>
  </si>
  <si>
    <t xml:space="preserve">MENU.AGD      </t>
  </si>
  <si>
    <t xml:space="preserve">meteor2.agd   </t>
  </si>
  <si>
    <t xml:space="preserve">meteormania.agd             </t>
  </si>
  <si>
    <t xml:space="preserve">hitch.agd     </t>
  </si>
  <si>
    <t xml:space="preserve">dragon.agd    </t>
  </si>
  <si>
    <t xml:space="preserve">MGSI.AGD      </t>
  </si>
  <si>
    <t xml:space="preserve">javipomez.agd </t>
  </si>
  <si>
    <t xml:space="preserve">mike.agd      </t>
  </si>
  <si>
    <t xml:space="preserve">mini.agd      </t>
  </si>
  <si>
    <t xml:space="preserve">landofmiremare.agd          </t>
  </si>
  <si>
    <t xml:space="preserve">atlantis.agd  </t>
  </si>
  <si>
    <t xml:space="preserve">MISSMARS.AGD  </t>
  </si>
  <si>
    <t xml:space="preserve">STARGUM2.agd  </t>
  </si>
  <si>
    <t xml:space="preserve">combat.agd    </t>
  </si>
  <si>
    <t xml:space="preserve">monkey.agd    </t>
  </si>
  <si>
    <t xml:space="preserve">monkeybros.agd              </t>
  </si>
  <si>
    <t xml:space="preserve">monty-ls.agd  </t>
  </si>
  <si>
    <t xml:space="preserve">gummi1-2.agd  </t>
  </si>
  <si>
    <t xml:space="preserve">wizzard.agd   </t>
  </si>
  <si>
    <t xml:space="preserve">monty-tls.agd </t>
  </si>
  <si>
    <t xml:space="preserve">monty-xmas.agd              </t>
  </si>
  <si>
    <t xml:space="preserve">monty.agd     </t>
  </si>
  <si>
    <t xml:space="preserve">dirtydozer2.agd             </t>
  </si>
  <si>
    <t xml:space="preserve">moritz.agd    </t>
  </si>
  <si>
    <t xml:space="preserve">sex.agd       </t>
  </si>
  <si>
    <t xml:space="preserve">mouser.agd    </t>
  </si>
  <si>
    <t xml:space="preserve">3octopuses.agd              </t>
  </si>
  <si>
    <t xml:space="preserve">TESTWATER.agd </t>
  </si>
  <si>
    <t xml:space="preserve">warrior.agd   </t>
  </si>
  <si>
    <t xml:space="preserve">myspanel.AGD  </t>
  </si>
  <si>
    <t xml:space="preserve">mysterious.agd              </t>
  </si>
  <si>
    <t xml:space="preserve">mysterious2.agd             </t>
  </si>
  <si>
    <t xml:space="preserve">bombbomb-ok.agd             </t>
  </si>
  <si>
    <t xml:space="preserve">mystery1.agd  </t>
  </si>
  <si>
    <t xml:space="preserve">hitchdragon.agd             </t>
  </si>
  <si>
    <t xml:space="preserve">mystery2.agd  </t>
  </si>
  <si>
    <t xml:space="preserve">mystery3.agd  </t>
  </si>
  <si>
    <t xml:space="preserve">nadral.agd    </t>
  </si>
  <si>
    <t xml:space="preserve">nemesis.agd   </t>
  </si>
  <si>
    <t xml:space="preserve">nemokay.agd   </t>
  </si>
  <si>
    <t xml:space="preserve">nightstalker.agd            </t>
  </si>
  <si>
    <t xml:space="preserve">nilson.agd    </t>
  </si>
  <si>
    <t xml:space="preserve">ninja.agd     </t>
  </si>
  <si>
    <t xml:space="preserve">nixy.agd      </t>
  </si>
  <si>
    <t xml:space="preserve">prilel.agd    </t>
  </si>
  <si>
    <t xml:space="preserve">beef2.agd     </t>
  </si>
  <si>
    <t xml:space="preserve">nixy2.agd     </t>
  </si>
  <si>
    <t xml:space="preserve">oceano.agd    </t>
  </si>
  <si>
    <t xml:space="preserve">octopus.agd   </t>
  </si>
  <si>
    <t xml:space="preserve">octukitty.agd </t>
  </si>
  <si>
    <t xml:space="preserve">ohlala.agd    </t>
  </si>
  <si>
    <t xml:space="preserve">omelettes.agd </t>
  </si>
  <si>
    <t xml:space="preserve">ooze.agd      </t>
  </si>
  <si>
    <t xml:space="preserve">operationlab.agd            </t>
  </si>
  <si>
    <t xml:space="preserve">pacmama2.agd  </t>
  </si>
  <si>
    <t xml:space="preserve">pacmama3.agd  </t>
  </si>
  <si>
    <t xml:space="preserve">pacman.agd    </t>
  </si>
  <si>
    <t xml:space="preserve">page.agd      </t>
  </si>
  <si>
    <t xml:space="preserve">parachute.agd </t>
  </si>
  <si>
    <t xml:space="preserve">paralaser.agd </t>
  </si>
  <si>
    <t xml:space="preserve">parallax.agd  </t>
  </si>
  <si>
    <t xml:space="preserve">pcquest.agd   </t>
  </si>
  <si>
    <t xml:space="preserve">bombbomb-dither.agd         </t>
  </si>
  <si>
    <t xml:space="preserve">dante1.agd    </t>
  </si>
  <si>
    <t xml:space="preserve">PENGO.AGD     </t>
  </si>
  <si>
    <t xml:space="preserve">little-fish48.agd           </t>
  </si>
  <si>
    <t xml:space="preserve">PERCYPGN.agd  </t>
  </si>
  <si>
    <t xml:space="preserve">pharaoh.agd   </t>
  </si>
  <si>
    <t xml:space="preserve">pickaxepete.agd             </t>
  </si>
  <si>
    <t xml:space="preserve">journey.agd   </t>
  </si>
  <si>
    <t xml:space="preserve">pinkpills.agd </t>
  </si>
  <si>
    <t xml:space="preserve">SHMUPKIT3.agd </t>
  </si>
  <si>
    <t xml:space="preserve">devilrun.agd  </t>
  </si>
  <si>
    <t xml:space="preserve">explorer2.agd </t>
  </si>
  <si>
    <t xml:space="preserve">sideface.agd  </t>
  </si>
  <si>
    <t xml:space="preserve">pitfall3.agd  </t>
  </si>
  <si>
    <t xml:space="preserve">planetofdeath.agd           </t>
  </si>
  <si>
    <t xml:space="preserve">PLTFPDGY.AGD  </t>
  </si>
  <si>
    <t xml:space="preserve">popeye.agd    </t>
  </si>
  <si>
    <t xml:space="preserve">prospector.agd              </t>
  </si>
  <si>
    <t xml:space="preserve">PTM.agd       </t>
  </si>
  <si>
    <t xml:space="preserve">stickman.agd  </t>
  </si>
  <si>
    <t xml:space="preserve">pumpkinpoe.agd              </t>
  </si>
  <si>
    <t xml:space="preserve">QBECKING.AGD  </t>
  </si>
  <si>
    <t xml:space="preserve">qbox.agd      </t>
  </si>
  <si>
    <t xml:space="preserve">quahappy.agd  </t>
  </si>
  <si>
    <t xml:space="preserve">quest.agd     </t>
  </si>
  <si>
    <t xml:space="preserve">r2-d2.agd     </t>
  </si>
  <si>
    <t xml:space="preserve">rabidmower.agd              </t>
  </si>
  <si>
    <t xml:space="preserve">raiders.agd   </t>
  </si>
  <si>
    <t xml:space="preserve">raidersoflostark.agd        </t>
  </si>
  <si>
    <t xml:space="preserve">rayreprisal.agd             </t>
  </si>
  <si>
    <t xml:space="preserve">rescue.agd    </t>
  </si>
  <si>
    <t xml:space="preserve">revenge1.agd  </t>
  </si>
  <si>
    <t xml:space="preserve">rmower1.agd   </t>
  </si>
  <si>
    <t xml:space="preserve">RNDMATOR.AGD  </t>
  </si>
  <si>
    <t xml:space="preserve">roboprobe.agd </t>
  </si>
  <si>
    <t xml:space="preserve">ROBOT.agd     </t>
  </si>
  <si>
    <t xml:space="preserve">robotsanta.agd              </t>
  </si>
  <si>
    <t xml:space="preserve">b3.agd        </t>
  </si>
  <si>
    <t xml:space="preserve">b6.agd        </t>
  </si>
  <si>
    <t xml:space="preserve">b7.agd        </t>
  </si>
  <si>
    <t xml:space="preserve">ROCKRODI.AGD  </t>
  </si>
  <si>
    <t xml:space="preserve">jason-hero.agd              </t>
  </si>
  <si>
    <t xml:space="preserve">roust1.agd    </t>
  </si>
  <si>
    <t xml:space="preserve">annefrank.agd </t>
  </si>
  <si>
    <t xml:space="preserve">8level.agd    </t>
  </si>
  <si>
    <t xml:space="preserve">turtle.agd    </t>
  </si>
  <si>
    <t xml:space="preserve">rovr.agd      </t>
  </si>
  <si>
    <t xml:space="preserve">rrumble.agd   </t>
  </si>
  <si>
    <t xml:space="preserve">rubicon.agd   </t>
  </si>
  <si>
    <t xml:space="preserve">RUDXMAS.AGD   </t>
  </si>
  <si>
    <t xml:space="preserve">S1-billy.agd  </t>
  </si>
  <si>
    <t xml:space="preserve">s1-bob.agd    </t>
  </si>
  <si>
    <t xml:space="preserve">s1-king.agd   </t>
  </si>
  <si>
    <t xml:space="preserve">S1-platform.agd             </t>
  </si>
  <si>
    <t xml:space="preserve">s1-quest.agd  </t>
  </si>
  <si>
    <t xml:space="preserve">santos.agd    </t>
  </si>
  <si>
    <t xml:space="preserve">satelite.agd  </t>
  </si>
  <si>
    <t xml:space="preserve">milkbar.agd   </t>
  </si>
  <si>
    <t xml:space="preserve">SC0TB0T.AGD   </t>
  </si>
  <si>
    <t xml:space="preserve">setokazan.agd </t>
  </si>
  <si>
    <t xml:space="preserve">setoyokai.agd </t>
  </si>
  <si>
    <t xml:space="preserve">shipofdoom.agd              </t>
  </si>
  <si>
    <t xml:space="preserve">baldy-co.agd  </t>
  </si>
  <si>
    <t xml:space="preserve">SNOW.agd      </t>
  </si>
  <si>
    <t xml:space="preserve">sophia.agd    </t>
  </si>
  <si>
    <t xml:space="preserve">sophia2-1.agd </t>
  </si>
  <si>
    <t xml:space="preserve">sophia2-2.agd </t>
  </si>
  <si>
    <t xml:space="preserve">sophia2-3.agd </t>
  </si>
  <si>
    <t xml:space="preserve">sorceress.agd </t>
  </si>
  <si>
    <t xml:space="preserve">sorceress2.agd              </t>
  </si>
  <si>
    <t xml:space="preserve">grunge.agd    </t>
  </si>
  <si>
    <t xml:space="preserve">spacedisposal.AGD           </t>
  </si>
  <si>
    <t xml:space="preserve">spacesjunk.agd              </t>
  </si>
  <si>
    <t xml:space="preserve">speccypong.agd              </t>
  </si>
  <si>
    <t xml:space="preserve">squares.agd   </t>
  </si>
  <si>
    <t xml:space="preserve">psycho.agd    </t>
  </si>
  <si>
    <t xml:space="preserve">stars.agd     </t>
  </si>
  <si>
    <t xml:space="preserve">steel.agd     </t>
  </si>
  <si>
    <t xml:space="preserve">ronan.agd     </t>
  </si>
  <si>
    <t xml:space="preserve">SHMUPKIT.agd  </t>
  </si>
  <si>
    <t xml:space="preserve">STWTP.AGD     </t>
  </si>
  <si>
    <t xml:space="preserve">super48kbox.agd             </t>
  </si>
  <si>
    <t xml:space="preserve">sympathy.agd  </t>
  </si>
  <si>
    <t xml:space="preserve">tea-leaf-ted.agd            </t>
  </si>
  <si>
    <t xml:space="preserve">tea.agd       </t>
  </si>
  <si>
    <t xml:space="preserve">teasympathy.agd             </t>
  </si>
  <si>
    <t xml:space="preserve">tek103.agd    </t>
  </si>
  <si>
    <t xml:space="preserve">terrahawks.agd              </t>
  </si>
  <si>
    <t xml:space="preserve">terrapins.agd </t>
  </si>
  <si>
    <t xml:space="preserve">yokai.agd     </t>
  </si>
  <si>
    <t xml:space="preserve">bola.agd      </t>
  </si>
  <si>
    <t xml:space="preserve">TESTBIGSPRITE.AGD           </t>
  </si>
  <si>
    <t xml:space="preserve">rageout.agd   </t>
  </si>
  <si>
    <t xml:space="preserve">TESTANIM.AGD  </t>
  </si>
  <si>
    <t xml:space="preserve">TESTBEEP.AGD  </t>
  </si>
  <si>
    <t xml:space="preserve">TESTBEEP2.AGD </t>
  </si>
  <si>
    <t xml:space="preserve">TESTBIG.agd   </t>
  </si>
  <si>
    <t xml:space="preserve">TESTCHR.AGD   </t>
  </si>
  <si>
    <t xml:space="preserve">TESTCOLOUR.AGD              </t>
  </si>
  <si>
    <t xml:space="preserve">TESTCRUMBLE.agd             </t>
  </si>
  <si>
    <t xml:space="preserve">TESTDITHER.AGD              </t>
  </si>
  <si>
    <t xml:space="preserve">TESTDIV.AGD   </t>
  </si>
  <si>
    <t xml:space="preserve">TESTENERGY.AGD              </t>
  </si>
  <si>
    <t xml:space="preserve">TESTEVENT.AGD </t>
  </si>
  <si>
    <t xml:space="preserve">TESTFADE.AGD  </t>
  </si>
  <si>
    <t xml:space="preserve">TESTFGBLOCK.AGD             </t>
  </si>
  <si>
    <t xml:space="preserve">TESTFGBLOCK2.AGD            </t>
  </si>
  <si>
    <t xml:space="preserve">nightmair.agd </t>
  </si>
  <si>
    <t xml:space="preserve">TESTGETBLOCK.AGD            </t>
  </si>
  <si>
    <t xml:space="preserve">TESTJUMP.agd  </t>
  </si>
  <si>
    <t xml:space="preserve">TESTKEY.AGD   </t>
  </si>
  <si>
    <t xml:space="preserve">TESTMAZE.AGD  </t>
  </si>
  <si>
    <t xml:space="preserve">TESTMENU.AGD  </t>
  </si>
  <si>
    <t xml:space="preserve">TESTMENU1.AGD </t>
  </si>
  <si>
    <t xml:space="preserve">TESTOBJ.AGD   </t>
  </si>
  <si>
    <t xml:space="preserve">TESTOBJ2.AGD  </t>
  </si>
  <si>
    <t xml:space="preserve">HAIRKAT2.agd  </t>
  </si>
  <si>
    <t xml:space="preserve">TESTRAND.AGD  </t>
  </si>
  <si>
    <t xml:space="preserve">TESTRANDOM.AGD              </t>
  </si>
  <si>
    <t xml:space="preserve">TESTSCORE.AGD </t>
  </si>
  <si>
    <t xml:space="preserve">TESTSCROLL.AGD              </t>
  </si>
  <si>
    <t xml:space="preserve">TESTSCROLL2.AGD             </t>
  </si>
  <si>
    <t xml:space="preserve">TESTSPEED.AGD </t>
  </si>
  <si>
    <t xml:space="preserve">TESTSTAR.AGD  </t>
  </si>
  <si>
    <t xml:space="preserve">TESTTICKER.AGD              </t>
  </si>
  <si>
    <t xml:space="preserve">TIKITMPL.AGD  </t>
  </si>
  <si>
    <t xml:space="preserve">TIMTRAVL.AGD  </t>
  </si>
  <si>
    <t xml:space="preserve">tisp.agd      </t>
  </si>
  <si>
    <t xml:space="preserve">tlt-bear.agd  </t>
  </si>
  <si>
    <t xml:space="preserve">toofy1.agd    </t>
  </si>
  <si>
    <t xml:space="preserve">toofy2.agd    </t>
  </si>
  <si>
    <t xml:space="preserve">tpcolour.agd  </t>
  </si>
  <si>
    <t xml:space="preserve">ziona.agd     </t>
  </si>
  <si>
    <t xml:space="preserve">TRIKTROL.AGD  </t>
  </si>
  <si>
    <t xml:space="preserve">trooper.agd   </t>
  </si>
  <si>
    <t xml:space="preserve">chopper.agd   </t>
  </si>
  <si>
    <t xml:space="preserve">ttest.agd     </t>
  </si>
  <si>
    <t xml:space="preserve">ufo.agd       </t>
  </si>
  <si>
    <t xml:space="preserve">untitled659.agd             </t>
  </si>
  <si>
    <t xml:space="preserve">vectornauts.agd             </t>
  </si>
  <si>
    <t xml:space="preserve">vintik.agd    </t>
  </si>
  <si>
    <t xml:space="preserve">wwifight.agd  </t>
  </si>
  <si>
    <t xml:space="preserve">COCAIN.agd    </t>
  </si>
  <si>
    <t xml:space="preserve">ZBYLUT.agd    </t>
  </si>
  <si>
    <t xml:space="preserve">ZOESADV.AGD   </t>
  </si>
  <si>
    <t xml:space="preserve">zombo.agd     </t>
  </si>
  <si>
    <t xml:space="preserve">zomboxmas.agd </t>
  </si>
  <si>
    <t xml:space="preserve">zukinox.agd   </t>
  </si>
  <si>
    <t xml:space="preserve">seb.agd       </t>
  </si>
  <si>
    <t xml:space="preserve">meta48.agd    </t>
  </si>
  <si>
    <t xml:space="preserve">amongbad.agd  </t>
  </si>
  <si>
    <t xml:space="preserve">papyrus.agd   </t>
  </si>
  <si>
    <t xml:space="preserve">dk-remake.agd </t>
  </si>
  <si>
    <t xml:space="preserve">ziona-OK.agd  </t>
  </si>
  <si>
    <t xml:space="preserve">eldia.agd     </t>
  </si>
  <si>
    <t xml:space="preserve">DDD.agd       </t>
  </si>
  <si>
    <t xml:space="preserve">sorcerer.agd  </t>
  </si>
  <si>
    <t xml:space="preserve">toofy3.agd    </t>
  </si>
  <si>
    <t xml:space="preserve">test.agd      </t>
  </si>
  <si>
    <t xml:space="preserve">roasty.agd    </t>
  </si>
  <si>
    <t xml:space="preserve">rx.agd        </t>
  </si>
  <si>
    <t xml:space="preserve">TESTLADDER.agd              </t>
  </si>
  <si>
    <t xml:space="preserve">TESTJUMP2.agd </t>
  </si>
  <si>
    <t xml:space="preserve">dungeonrun.agd              </t>
  </si>
  <si>
    <t xml:space="preserve">magicable.agd </t>
  </si>
  <si>
    <t xml:space="preserve">jetpacjohn.agd              </t>
  </si>
  <si>
    <t xml:space="preserve">HEROES.AGD    </t>
  </si>
  <si>
    <t xml:space="preserve">TESTHIDDEN.AGD              </t>
  </si>
  <si>
    <t xml:space="preserve">DEVILRUN1.agd </t>
  </si>
  <si>
    <t xml:space="preserve">sih-ok.agd    </t>
  </si>
  <si>
    <t xml:space="preserve">TESTBIT.AGD   </t>
  </si>
  <si>
    <t xml:space="preserve">TESTBIGCOL.AGD              </t>
  </si>
  <si>
    <t xml:space="preserve">TESTSPAWN.AGD </t>
  </si>
  <si>
    <t xml:space="preserve">roboticcity.agd             </t>
  </si>
  <si>
    <t xml:space="preserve">jetpackneo.agd              </t>
  </si>
  <si>
    <t xml:space="preserve">bpengo.agd    </t>
  </si>
  <si>
    <t xml:space="preserve">TESTSTYLE.AGD </t>
  </si>
  <si>
    <t xml:space="preserve">sinking.agd   </t>
  </si>
  <si>
    <t xml:space="preserve">stickmanolymp.agd           </t>
  </si>
  <si>
    <t xml:space="preserve">beethoven2.agd              </t>
  </si>
  <si>
    <t xml:space="preserve">BUBBLE23.agd  </t>
  </si>
  <si>
    <t xml:space="preserve">alchemist2.agd              </t>
  </si>
  <si>
    <t xml:space="preserve">sheepish.agd  </t>
  </si>
  <si>
    <t xml:space="preserve">TESTCOLLECT.AGD             </t>
  </si>
  <si>
    <t xml:space="preserve">dangerousdavie.agd          </t>
  </si>
  <si>
    <t xml:space="preserve">danterrifik3.agd            </t>
  </si>
  <si>
    <t xml:space="preserve">tricktreat.agd              </t>
  </si>
  <si>
    <t xml:space="preserve">mrhair-kitty.agd            </t>
  </si>
  <si>
    <t xml:space="preserve">code112.agd   </t>
  </si>
  <si>
    <t xml:space="preserve">mrhair-remix.agd            </t>
  </si>
  <si>
    <t xml:space="preserve">retrocesion.agd             </t>
  </si>
  <si>
    <t xml:space="preserve">8bitwars.agd  </t>
  </si>
  <si>
    <t xml:space="preserve">willie.agd    </t>
  </si>
  <si>
    <t xml:space="preserve">hairremix.agd </t>
  </si>
  <si>
    <t xml:space="preserve">punch4e.agd   </t>
  </si>
  <si>
    <t xml:space="preserve">jungle-org.agd              </t>
  </si>
  <si>
    <t xml:space="preserve">nevermore.agd </t>
  </si>
  <si>
    <t xml:space="preserve">SHMUPKIT1.agd </t>
  </si>
  <si>
    <t xml:space="preserve">hall-ed2.agd  </t>
  </si>
  <si>
    <t xml:space="preserve">hall-ed3.agd  </t>
  </si>
  <si>
    <t xml:space="preserve">tank.agd      </t>
  </si>
  <si>
    <t xml:space="preserve">metamorphosis-demo.agd      </t>
  </si>
  <si>
    <t xml:space="preserve">SHMUPKITv1.agd              </t>
  </si>
  <si>
    <t xml:space="preserve">fungus2-1.agd </t>
  </si>
  <si>
    <t xml:space="preserve">fungus2-2.agd </t>
  </si>
  <si>
    <t xml:space="preserve">fungus2-3.agd </t>
  </si>
  <si>
    <t xml:space="preserve">fungus2-4.agd </t>
  </si>
  <si>
    <t xml:space="preserve">fungus2-boss.agd            </t>
  </si>
  <si>
    <t xml:space="preserve">SHMUPKIT_nok.agd            </t>
  </si>
  <si>
    <t xml:space="preserve">agentblue-night.agd         </t>
  </si>
  <si>
    <t xml:space="preserve">bullet.agd    </t>
  </si>
  <si>
    <t xml:space="preserve">hall-ed10.agd </t>
  </si>
  <si>
    <t xml:space="preserve">cadg.agd      </t>
  </si>
  <si>
    <t xml:space="preserve">spidermami.agd              </t>
  </si>
  <si>
    <t xml:space="preserve">TESTROBOT.AGD </t>
  </si>
  <si>
    <t xml:space="preserve">gherkinxmas.agd             </t>
  </si>
  <si>
    <t xml:space="preserve">agentblue-day.agd           </t>
  </si>
  <si>
    <t xml:space="preserve">apulija-13.agd              </t>
  </si>
  <si>
    <t xml:space="preserve">blimpgeddon.agd             </t>
  </si>
  <si>
    <t xml:space="preserve">trinidad.agd  </t>
  </si>
  <si>
    <t xml:space="preserve">restless.agd  </t>
  </si>
  <si>
    <t xml:space="preserve">sprouty.agd   </t>
  </si>
  <si>
    <t xml:space="preserve">vampire.agd   </t>
  </si>
  <si>
    <t xml:space="preserve">zxs.agd       </t>
  </si>
  <si>
    <t xml:space="preserve">dc-raider.agd </t>
  </si>
  <si>
    <t xml:space="preserve">flype.agd     </t>
  </si>
  <si>
    <t xml:space="preserve">lostcavern.agd              </t>
  </si>
  <si>
    <t xml:space="preserve">trini.agd     </t>
  </si>
  <si>
    <t xml:space="preserve">TESTFONT.AGD  </t>
  </si>
  <si>
    <t xml:space="preserve">TESTEXPL2.AGD </t>
  </si>
  <si>
    <t xml:space="preserve">unicycle.agd  </t>
  </si>
  <si>
    <t xml:space="preserve">stopvirus.agd </t>
  </si>
  <si>
    <t xml:space="preserve">tapper.agd    </t>
  </si>
  <si>
    <t xml:space="preserve">mabus.agd     </t>
  </si>
  <si>
    <t xml:space="preserve">yoyo.agd      </t>
  </si>
  <si>
    <t xml:space="preserve">striker.agd   </t>
  </si>
  <si>
    <t xml:space="preserve">maze.agd      </t>
  </si>
  <si>
    <t xml:space="preserve">ko-maze21.agd </t>
  </si>
  <si>
    <t xml:space="preserve">jason-hero11.agd            </t>
  </si>
  <si>
    <t xml:space="preserve">chruma.agd    </t>
  </si>
  <si>
    <t xml:space="preserve">homeless.agd  </t>
  </si>
  <si>
    <t xml:space="preserve">homelesshorace.agd          </t>
  </si>
  <si>
    <t xml:space="preserve">pickford.agd  </t>
  </si>
  <si>
    <t xml:space="preserve">mts.agd       </t>
  </si>
  <si>
    <t xml:space="preserve">sorcererkid.agd             </t>
  </si>
  <si>
    <t xml:space="preserve">orange.agd    </t>
  </si>
  <si>
    <t xml:space="preserve">goblin.agd    </t>
  </si>
  <si>
    <t>Name</t>
  </si>
  <si>
    <t>Window</t>
  </si>
  <si>
    <t>VIC20</t>
  </si>
  <si>
    <t>1,1,12,30</t>
  </si>
  <si>
    <t>1,0,23,32</t>
  </si>
  <si>
    <t>1,1,18,30</t>
  </si>
  <si>
    <t>1,1,22,30</t>
  </si>
  <si>
    <t>1,9,22,22</t>
  </si>
  <si>
    <t>0,1,23,30</t>
  </si>
  <si>
    <t>1,0,22,32</t>
  </si>
  <si>
    <t>1,1,22,22</t>
  </si>
  <si>
    <t>1,1,19,30</t>
  </si>
  <si>
    <t>1,1,20,30</t>
  </si>
  <si>
    <t>2,1,19,30</t>
  </si>
  <si>
    <t>1,4,20,24</t>
  </si>
  <si>
    <t>3,1,20,30</t>
  </si>
  <si>
    <t>0,0,23,32</t>
  </si>
  <si>
    <t>3,8,18,15</t>
  </si>
  <si>
    <t>2,1,18,30</t>
  </si>
  <si>
    <t>1,0,20,30</t>
  </si>
  <si>
    <t>0,0,22,22</t>
  </si>
  <si>
    <t>2,0,22,32</t>
  </si>
  <si>
    <t>3,2,20,28</t>
  </si>
  <si>
    <t>1,2,19,28</t>
  </si>
  <si>
    <t>3,2,19,28</t>
  </si>
  <si>
    <t>0,0,23,30</t>
  </si>
  <si>
    <t>1,1,21,25</t>
  </si>
  <si>
    <t>4,0,20,32</t>
  </si>
  <si>
    <t>2,1,21,30</t>
  </si>
  <si>
    <t>0,1,21,30</t>
  </si>
  <si>
    <t>0,0,8,32</t>
  </si>
  <si>
    <t>3,0,21,32</t>
  </si>
  <si>
    <t>2,0,20,32</t>
  </si>
  <si>
    <t>2,0,21,32</t>
  </si>
  <si>
    <t>3,5,19,22</t>
  </si>
  <si>
    <t>1,1,23,22</t>
  </si>
  <si>
    <t>0,0,255,0</t>
  </si>
  <si>
    <t>0,0,18,32</t>
  </si>
  <si>
    <t>4,5,14,22</t>
  </si>
  <si>
    <t>0,0,21,32</t>
  </si>
  <si>
    <t>0,0,20,32</t>
  </si>
  <si>
    <t>4,1,17,30</t>
  </si>
  <si>
    <t>1,2,21,28</t>
  </si>
  <si>
    <t>6,5,10,22</t>
  </si>
  <si>
    <t>1,1,22,28</t>
  </si>
  <si>
    <t>6,1,17,30</t>
  </si>
  <si>
    <t>1,3,22,25</t>
  </si>
  <si>
    <t>1,1,22,24</t>
  </si>
  <si>
    <t>1,1,16,30</t>
  </si>
  <si>
    <t>3,1,18,30</t>
  </si>
  <si>
    <t>1,1,23,30</t>
  </si>
  <si>
    <t>1,1,21,22</t>
  </si>
  <si>
    <t>1,1,21,30</t>
  </si>
  <si>
    <t>1,0,20,32</t>
  </si>
  <si>
    <t>0,0,22,31</t>
  </si>
  <si>
    <t>1,2,22,28</t>
  </si>
  <si>
    <t>0,0,24,32</t>
  </si>
  <si>
    <t>24,0,255,0</t>
  </si>
  <si>
    <t>79,5,77,5</t>
  </si>
  <si>
    <t>1,2,18,28</t>
  </si>
  <si>
    <t>2,1,20,30</t>
  </si>
  <si>
    <t>0,0,21,30</t>
  </si>
  <si>
    <t>1,0,22,24</t>
  </si>
  <si>
    <t>0,2,20,28</t>
  </si>
  <si>
    <t>2,2,20,28</t>
  </si>
  <si>
    <t>0,0,23,22</t>
  </si>
  <si>
    <t>5,1,18,30</t>
  </si>
  <si>
    <t>3,1,19,30</t>
  </si>
  <si>
    <t>1,3,21,26</t>
  </si>
  <si>
    <t>1,1,17,30</t>
  </si>
  <si>
    <t>1,0,7,32</t>
  </si>
  <si>
    <t>3,2,17,28</t>
  </si>
  <si>
    <t>2,1,15,30</t>
  </si>
  <si>
    <t>0,0,0,0</t>
  </si>
  <si>
    <t>1,2,23,28</t>
  </si>
  <si>
    <t>1,1,22,23</t>
  </si>
  <si>
    <t>3,4,16,24</t>
  </si>
  <si>
    <t>1,0,6,32</t>
  </si>
  <si>
    <t>2,1,16,30</t>
  </si>
  <si>
    <t>1,0,22,27</t>
  </si>
  <si>
    <t>0,0,22,32</t>
  </si>
  <si>
    <t>1,0,21,32</t>
  </si>
  <si>
    <t>4,1,19,30</t>
  </si>
  <si>
    <t>5,1,14,30</t>
  </si>
  <si>
    <t>3,6,18,21</t>
  </si>
  <si>
    <t>3,2,18,28</t>
  </si>
  <si>
    <t>1,1,22,29</t>
  </si>
  <si>
    <t>2,2,16,28</t>
  </si>
  <si>
    <t>4,4,13,24</t>
  </si>
  <si>
    <t>0,0,23,24</t>
  </si>
  <si>
    <t>0,0,20,30</t>
  </si>
  <si>
    <t>0,1,22,30</t>
  </si>
  <si>
    <t>0,0,22,26</t>
  </si>
  <si>
    <t>1,1,22,25</t>
  </si>
  <si>
    <t>1,0,22,26</t>
  </si>
  <si>
    <t>1,1,8,8</t>
  </si>
  <si>
    <t>8,1,9,30</t>
  </si>
  <si>
    <t>2,1,19,23</t>
  </si>
  <si>
    <t>1,1,21,26</t>
  </si>
  <si>
    <t>33,0,24,34</t>
  </si>
  <si>
    <t>4,2,16,28</t>
  </si>
  <si>
    <t>0,0,22,28</t>
  </si>
  <si>
    <t>0,0,23,29</t>
  </si>
  <si>
    <t>1,10,23,22</t>
  </si>
  <si>
    <t>2,4,21,24</t>
  </si>
  <si>
    <t>1,1,22,19</t>
  </si>
  <si>
    <t>0,0,23,31</t>
  </si>
  <si>
    <t>0,0,23,26</t>
  </si>
  <si>
    <t>2,1,20,29</t>
  </si>
  <si>
    <t>7,11,10,10</t>
  </si>
  <si>
    <t>0,0,8,30</t>
  </si>
  <si>
    <t>0,0,22,30</t>
  </si>
  <si>
    <t>1,2,20,28</t>
  </si>
  <si>
    <t>2,2,20,21</t>
  </si>
  <si>
    <t>2,2,18,28</t>
  </si>
  <si>
    <t>8,116,0,0</t>
  </si>
  <si>
    <t>2,2,21,28</t>
  </si>
  <si>
    <t>2,1,22,30</t>
  </si>
  <si>
    <t>3,3,18,26</t>
  </si>
  <si>
    <t>1,1,15,30</t>
  </si>
  <si>
    <t>1,0,23,23</t>
  </si>
  <si>
    <t>1,0,23,26</t>
  </si>
  <si>
    <t>1,1,20,20</t>
  </si>
  <si>
    <t>1,0,22,22</t>
  </si>
  <si>
    <t>3,1,19,29</t>
  </si>
  <si>
    <t>1,0,19,32</t>
  </si>
  <si>
    <t>128,1,0,0</t>
  </si>
  <si>
    <t>1,1,20,32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</si>
</sst>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gamewindowlist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 filterMode="1"/>
  <dimension ref="A1:J543"/>
  <sheetViews>
    <sheetView tabSelected="1" topLeftCell="A91" workbookViewId="0"/>
  </sheetViews>
  <sheetFormatPr defaultRowHeight="15" x14ac:dyDescent="0.25"/>
  <cols>
    <col min="1" max="1" width="27.5703125" bestFit="1" customWidth="1"/>
    <col min="2" max="2" width="25.5703125" bestFit="1" customWidth="1"/>
    <col min="4" max="4" width="10.5703125" bestFit="1" customWidth="1"/>
    <col min="8" max="8" width="10.5703125" bestFit="1" customWidth="1"/>
  </cols>
  <sheetData>
    <row r="1" spans="1:10" x14ac:dyDescent="0.25">
      <c r="A1" s="1" t="s">
        <v>542</v>
      </c>
      <c r="B1" s="1" t="s">
        <v>543</v>
      </c>
      <c r="C1" s="1" t="s">
        <v>544</v>
      </c>
    </row>
    <row r="2" spans="1:10" hidden="1" x14ac:dyDescent="0.25">
      <c r="A2" t="s">
        <v>0</v>
      </c>
      <c r="B2" t="s">
        <v>545</v>
      </c>
      <c r="C2" t="str">
        <f t="shared" ref="C2:C55" si="0">IF(RIGHT(B2,5)="22,22","VIC20","")</f>
        <v/>
      </c>
      <c r="D2">
        <f>SEARCH(",",B2)</f>
        <v>2</v>
      </c>
      <c r="E2">
        <f>SEARCH(",",B2,D2+1)</f>
        <v>4</v>
      </c>
      <c r="F2">
        <f>SEARCH(",",B2,E2+1)</f>
        <v>7</v>
      </c>
      <c r="G2">
        <f>VALUE(MID(B2,1,D2-1))</f>
        <v>1</v>
      </c>
      <c r="H2">
        <f>VALUE(MID(B2,D2+1,E2-D2-1))</f>
        <v>1</v>
      </c>
      <c r="I2">
        <f>VALUE(MID(B2,E2+1,F2-E2-1))</f>
        <v>12</v>
      </c>
      <c r="J2">
        <f>VALUE(MID(B2,F2+1,4))</f>
        <v>30</v>
      </c>
    </row>
    <row r="3" spans="1:10" hidden="1" x14ac:dyDescent="0.25">
      <c r="A3" t="s">
        <v>1</v>
      </c>
      <c r="B3" t="s">
        <v>546</v>
      </c>
      <c r="C3" t="str">
        <f t="shared" si="0"/>
        <v/>
      </c>
      <c r="D3">
        <f t="shared" ref="D3:D24" si="1">SEARCH(",",B3)</f>
        <v>2</v>
      </c>
      <c r="E3">
        <f t="shared" ref="E3:E24" si="2">SEARCH(",",B3,D3+1)</f>
        <v>4</v>
      </c>
      <c r="F3">
        <f t="shared" ref="F3:F24" si="3">SEARCH(",",B3,E3+1)</f>
        <v>7</v>
      </c>
      <c r="G3">
        <f t="shared" ref="G3:G7" si="4">VALUE(MID(B3,1,D3-1))</f>
        <v>1</v>
      </c>
      <c r="H3">
        <f t="shared" ref="H3:H7" si="5">VALUE(MID(B3,D3+1,E3-D3-1))</f>
        <v>0</v>
      </c>
      <c r="I3">
        <f t="shared" ref="I3:I6" si="6">VALUE(MID(B3,E3+1,F3-E3-1))</f>
        <v>23</v>
      </c>
      <c r="J3">
        <f t="shared" ref="J3:J6" si="7">VALUE(MID(B3,F3+1,4))</f>
        <v>32</v>
      </c>
    </row>
    <row r="4" spans="1:10" hidden="1" x14ac:dyDescent="0.25">
      <c r="A4" t="s">
        <v>2</v>
      </c>
      <c r="B4" t="s">
        <v>546</v>
      </c>
      <c r="C4" t="str">
        <f t="shared" si="0"/>
        <v/>
      </c>
      <c r="D4">
        <f t="shared" si="1"/>
        <v>2</v>
      </c>
      <c r="E4">
        <f t="shared" si="2"/>
        <v>4</v>
      </c>
      <c r="F4">
        <f t="shared" si="3"/>
        <v>7</v>
      </c>
      <c r="G4">
        <f t="shared" si="4"/>
        <v>1</v>
      </c>
      <c r="H4">
        <f t="shared" si="5"/>
        <v>0</v>
      </c>
      <c r="I4">
        <f t="shared" si="6"/>
        <v>23</v>
      </c>
      <c r="J4">
        <f t="shared" si="7"/>
        <v>32</v>
      </c>
    </row>
    <row r="5" spans="1:10" hidden="1" x14ac:dyDescent="0.25">
      <c r="A5" t="s">
        <v>3</v>
      </c>
      <c r="B5" t="s">
        <v>547</v>
      </c>
      <c r="C5" t="str">
        <f t="shared" si="0"/>
        <v/>
      </c>
      <c r="D5">
        <f t="shared" si="1"/>
        <v>2</v>
      </c>
      <c r="E5">
        <f t="shared" si="2"/>
        <v>4</v>
      </c>
      <c r="F5">
        <f t="shared" si="3"/>
        <v>7</v>
      </c>
      <c r="G5">
        <f t="shared" si="4"/>
        <v>1</v>
      </c>
      <c r="H5">
        <f t="shared" si="5"/>
        <v>1</v>
      </c>
      <c r="I5">
        <f t="shared" si="6"/>
        <v>18</v>
      </c>
      <c r="J5">
        <f t="shared" si="7"/>
        <v>30</v>
      </c>
    </row>
    <row r="6" spans="1:10" hidden="1" x14ac:dyDescent="0.25">
      <c r="A6" t="s">
        <v>4</v>
      </c>
      <c r="B6" t="s">
        <v>548</v>
      </c>
      <c r="C6" t="str">
        <f t="shared" si="0"/>
        <v/>
      </c>
      <c r="D6">
        <f t="shared" si="1"/>
        <v>2</v>
      </c>
      <c r="E6">
        <f t="shared" si="2"/>
        <v>4</v>
      </c>
      <c r="F6">
        <f t="shared" si="3"/>
        <v>7</v>
      </c>
      <c r="G6">
        <f t="shared" si="4"/>
        <v>1</v>
      </c>
      <c r="H6">
        <f t="shared" si="5"/>
        <v>1</v>
      </c>
      <c r="I6">
        <f t="shared" si="6"/>
        <v>22</v>
      </c>
      <c r="J6">
        <f t="shared" si="7"/>
        <v>30</v>
      </c>
    </row>
    <row r="7" spans="1:10" x14ac:dyDescent="0.25">
      <c r="A7" t="s">
        <v>339</v>
      </c>
      <c r="B7" t="s">
        <v>552</v>
      </c>
      <c r="C7" t="s">
        <v>544</v>
      </c>
      <c r="D7">
        <f>SEARCH(",",B7)</f>
        <v>2</v>
      </c>
      <c r="E7">
        <f>SEARCH(",",B7,D7+1)</f>
        <v>4</v>
      </c>
      <c r="F7">
        <f>SEARCH(",",B7,E7+1)</f>
        <v>7</v>
      </c>
      <c r="G7">
        <f>VALUE(MID(B7,1,D7-1))</f>
        <v>1</v>
      </c>
      <c r="H7">
        <f>VALUE(MID(B7,D7+1,E7-D7-1))</f>
        <v>1</v>
      </c>
      <c r="I7">
        <f>VALUE(MID(B7,E7+1,F7-E7-1))</f>
        <v>22</v>
      </c>
      <c r="J7">
        <f>VALUE(MID(B7,F7+1,4))</f>
        <v>22</v>
      </c>
    </row>
    <row r="8" spans="1:10" hidden="1" x14ac:dyDescent="0.25">
      <c r="A8" t="s">
        <v>6</v>
      </c>
      <c r="B8" t="s">
        <v>550</v>
      </c>
      <c r="C8" t="str">
        <f>IF(RIGHT(B8,5)="22,22","VIC20","")</f>
        <v/>
      </c>
      <c r="D8">
        <f>SEARCH(",",B8)</f>
        <v>2</v>
      </c>
      <c r="E8">
        <f>SEARCH(",",B8,D8+1)</f>
        <v>4</v>
      </c>
      <c r="F8">
        <f>SEARCH(",",B8,E8+1)</f>
        <v>7</v>
      </c>
      <c r="G8">
        <f>VALUE(MID(B8,1,D8-1))</f>
        <v>0</v>
      </c>
      <c r="H8">
        <f>VALUE(MID(B8,D8+1,E8-D8-1))</f>
        <v>1</v>
      </c>
      <c r="I8">
        <f>VALUE(MID(B8,E8+1,F8-E8-1))</f>
        <v>23</v>
      </c>
      <c r="J8">
        <f>VALUE(MID(B8,F8+1,4))</f>
        <v>30</v>
      </c>
    </row>
    <row r="9" spans="1:10" hidden="1" x14ac:dyDescent="0.25">
      <c r="A9" t="s">
        <v>7</v>
      </c>
      <c r="B9" t="s">
        <v>548</v>
      </c>
      <c r="C9" t="str">
        <f>IF(RIGHT(B9,5)="22,22","VIC20","")</f>
        <v/>
      </c>
      <c r="D9">
        <f>SEARCH(",",B9)</f>
        <v>2</v>
      </c>
      <c r="E9">
        <f>SEARCH(",",B9,D9+1)</f>
        <v>4</v>
      </c>
      <c r="F9">
        <f>SEARCH(",",B9,E9+1)</f>
        <v>7</v>
      </c>
      <c r="G9">
        <f>VALUE(MID(B9,1,D9-1))</f>
        <v>1</v>
      </c>
      <c r="H9">
        <f>VALUE(MID(B9,D9+1,E9-D9-1))</f>
        <v>1</v>
      </c>
      <c r="I9">
        <f>VALUE(MID(B9,E9+1,F9-E9-1))</f>
        <v>22</v>
      </c>
      <c r="J9">
        <f>VALUE(MID(B9,F9+1,4))</f>
        <v>30</v>
      </c>
    </row>
    <row r="10" spans="1:10" hidden="1" x14ac:dyDescent="0.25">
      <c r="A10" t="s">
        <v>8</v>
      </c>
      <c r="B10" t="s">
        <v>551</v>
      </c>
      <c r="C10" t="str">
        <f>IF(RIGHT(B10,5)="22,22","VIC20","")</f>
        <v/>
      </c>
      <c r="D10">
        <f>SEARCH(",",B10)</f>
        <v>2</v>
      </c>
      <c r="E10">
        <f>SEARCH(",",B10,D10+1)</f>
        <v>4</v>
      </c>
      <c r="F10">
        <f>SEARCH(",",B10,E10+1)</f>
        <v>7</v>
      </c>
      <c r="G10">
        <f>VALUE(MID(B10,1,D10-1))</f>
        <v>1</v>
      </c>
      <c r="H10">
        <f>VALUE(MID(B10,D10+1,E10-D10-1))</f>
        <v>0</v>
      </c>
      <c r="I10">
        <f>VALUE(MID(B10,E10+1,F10-E10-1))</f>
        <v>22</v>
      </c>
      <c r="J10">
        <f>VALUE(MID(B10,F10+1,4))</f>
        <v>32</v>
      </c>
    </row>
    <row r="11" spans="1:10" hidden="1" x14ac:dyDescent="0.25">
      <c r="A11" t="s">
        <v>9</v>
      </c>
      <c r="B11" t="s">
        <v>548</v>
      </c>
      <c r="C11" t="str">
        <f>IF(RIGHT(B11,5)="22,22","VIC20","")</f>
        <v/>
      </c>
      <c r="D11">
        <f>SEARCH(",",B11)</f>
        <v>2</v>
      </c>
      <c r="E11">
        <f>SEARCH(",",B11,D11+1)</f>
        <v>4</v>
      </c>
      <c r="F11">
        <f>SEARCH(",",B11,E11+1)</f>
        <v>7</v>
      </c>
      <c r="G11">
        <f>VALUE(MID(B11,1,D11-1))</f>
        <v>1</v>
      </c>
      <c r="H11">
        <f>VALUE(MID(B11,D11+1,E11-D11-1))</f>
        <v>1</v>
      </c>
      <c r="I11">
        <f>VALUE(MID(B11,E11+1,F11-E11-1))</f>
        <v>22</v>
      </c>
      <c r="J11">
        <f>VALUE(MID(B11,F11+1,4))</f>
        <v>30</v>
      </c>
    </row>
    <row r="12" spans="1:10" hidden="1" x14ac:dyDescent="0.25">
      <c r="A12" t="s">
        <v>10</v>
      </c>
      <c r="B12" t="s">
        <v>548</v>
      </c>
      <c r="C12" t="str">
        <f>IF(RIGHT(B12,5)="22,22","VIC20","")</f>
        <v/>
      </c>
      <c r="D12">
        <f>SEARCH(",",B12)</f>
        <v>2</v>
      </c>
      <c r="E12">
        <f>SEARCH(",",B12,D12+1)</f>
        <v>4</v>
      </c>
      <c r="F12">
        <f>SEARCH(",",B12,E12+1)</f>
        <v>7</v>
      </c>
      <c r="G12">
        <f>VALUE(MID(B12,1,D12-1))</f>
        <v>1</v>
      </c>
      <c r="H12">
        <f>VALUE(MID(B12,D12+1,E12-D12-1))</f>
        <v>1</v>
      </c>
      <c r="I12">
        <f>VALUE(MID(B12,E12+1,F12-E12-1))</f>
        <v>22</v>
      </c>
      <c r="J12">
        <f>VALUE(MID(B12,F12+1,4))</f>
        <v>30</v>
      </c>
    </row>
    <row r="13" spans="1:10" x14ac:dyDescent="0.25">
      <c r="A13" t="s">
        <v>11</v>
      </c>
      <c r="B13" t="s">
        <v>552</v>
      </c>
      <c r="C13" t="s">
        <v>544</v>
      </c>
      <c r="D13">
        <f>SEARCH(",",B13)</f>
        <v>2</v>
      </c>
      <c r="E13">
        <f>SEARCH(",",B13,D13+1)</f>
        <v>4</v>
      </c>
      <c r="F13">
        <f>SEARCH(",",B13,E13+1)</f>
        <v>7</v>
      </c>
      <c r="G13">
        <f>VALUE(MID(B13,1,D13-1))</f>
        <v>1</v>
      </c>
      <c r="H13">
        <f>VALUE(MID(B13,D13+1,E13-D13-1))</f>
        <v>1</v>
      </c>
      <c r="I13">
        <f>VALUE(MID(B13,E13+1,F13-E13-1))</f>
        <v>22</v>
      </c>
      <c r="J13">
        <f>VALUE(MID(B13,F13+1,4))</f>
        <v>22</v>
      </c>
    </row>
    <row r="14" spans="1:10" hidden="1" x14ac:dyDescent="0.25">
      <c r="A14" t="s">
        <v>12</v>
      </c>
      <c r="B14" t="s">
        <v>553</v>
      </c>
      <c r="C14" t="str">
        <f>IF(RIGHT(B14,5)="22,22","VIC20","")</f>
        <v/>
      </c>
      <c r="D14">
        <f>SEARCH(",",B14)</f>
        <v>2</v>
      </c>
      <c r="E14">
        <f>SEARCH(",",B14,D14+1)</f>
        <v>4</v>
      </c>
      <c r="F14">
        <f>SEARCH(",",B14,E14+1)</f>
        <v>7</v>
      </c>
      <c r="G14">
        <f>VALUE(MID(B14,1,D14-1))</f>
        <v>1</v>
      </c>
      <c r="H14">
        <f>VALUE(MID(B14,D14+1,E14-D14-1))</f>
        <v>1</v>
      </c>
      <c r="I14">
        <f>VALUE(MID(B14,E14+1,F14-E14-1))</f>
        <v>19</v>
      </c>
      <c r="J14">
        <f>VALUE(MID(B14,F14+1,4))</f>
        <v>30</v>
      </c>
    </row>
    <row r="15" spans="1:10" hidden="1" x14ac:dyDescent="0.25">
      <c r="A15" t="s">
        <v>13</v>
      </c>
      <c r="B15" t="s">
        <v>554</v>
      </c>
      <c r="C15" t="str">
        <f>IF(RIGHT(B15,5)="22,22","VIC20","")</f>
        <v/>
      </c>
      <c r="D15">
        <f>SEARCH(",",B15)</f>
        <v>2</v>
      </c>
      <c r="E15">
        <f>SEARCH(",",B15,D15+1)</f>
        <v>4</v>
      </c>
      <c r="F15">
        <f>SEARCH(",",B15,E15+1)</f>
        <v>7</v>
      </c>
      <c r="G15">
        <f>VALUE(MID(B15,1,D15-1))</f>
        <v>1</v>
      </c>
      <c r="H15">
        <f>VALUE(MID(B15,D15+1,E15-D15-1))</f>
        <v>1</v>
      </c>
      <c r="I15">
        <f>VALUE(MID(B15,E15+1,F15-E15-1))</f>
        <v>20</v>
      </c>
      <c r="J15">
        <f>VALUE(MID(B15,F15+1,4))</f>
        <v>30</v>
      </c>
    </row>
    <row r="16" spans="1:10" hidden="1" x14ac:dyDescent="0.25">
      <c r="A16" t="s">
        <v>14</v>
      </c>
      <c r="B16" t="s">
        <v>555</v>
      </c>
      <c r="C16" t="str">
        <f>IF(RIGHT(B16,5)="22,22","VIC20","")</f>
        <v/>
      </c>
      <c r="D16">
        <f>SEARCH(",",B16)</f>
        <v>2</v>
      </c>
      <c r="E16">
        <f>SEARCH(",",B16,D16+1)</f>
        <v>4</v>
      </c>
      <c r="F16">
        <f>SEARCH(",",B16,E16+1)</f>
        <v>7</v>
      </c>
      <c r="G16">
        <f>VALUE(MID(B16,1,D16-1))</f>
        <v>2</v>
      </c>
      <c r="H16">
        <f>VALUE(MID(B16,D16+1,E16-D16-1))</f>
        <v>1</v>
      </c>
      <c r="I16">
        <f>VALUE(MID(B16,E16+1,F16-E16-1))</f>
        <v>19</v>
      </c>
      <c r="J16">
        <f>VALUE(MID(B16,F16+1,4))</f>
        <v>30</v>
      </c>
    </row>
    <row r="17" spans="1:10" x14ac:dyDescent="0.25">
      <c r="A17" t="s">
        <v>15</v>
      </c>
      <c r="B17" t="s">
        <v>552</v>
      </c>
      <c r="C17" t="s">
        <v>544</v>
      </c>
      <c r="D17">
        <f>SEARCH(",",B17)</f>
        <v>2</v>
      </c>
      <c r="E17">
        <f>SEARCH(",",B17,D17+1)</f>
        <v>4</v>
      </c>
      <c r="F17">
        <f>SEARCH(",",B17,E17+1)</f>
        <v>7</v>
      </c>
      <c r="G17">
        <f>VALUE(MID(B17,1,D17-1))</f>
        <v>1</v>
      </c>
      <c r="H17">
        <f>VALUE(MID(B17,D17+1,E17-D17-1))</f>
        <v>1</v>
      </c>
      <c r="I17">
        <f>VALUE(MID(B17,E17+1,F17-E17-1))</f>
        <v>22</v>
      </c>
      <c r="J17">
        <f>VALUE(MID(B17,F17+1,4))</f>
        <v>22</v>
      </c>
    </row>
    <row r="18" spans="1:10" hidden="1" x14ac:dyDescent="0.25">
      <c r="A18" t="s">
        <v>16</v>
      </c>
      <c r="B18" t="s">
        <v>546</v>
      </c>
      <c r="C18" t="str">
        <f>IF(RIGHT(B18,5)="22,22","VIC20","")</f>
        <v/>
      </c>
      <c r="D18">
        <f>SEARCH(",",B18)</f>
        <v>2</v>
      </c>
      <c r="E18">
        <f>SEARCH(",",B18,D18+1)</f>
        <v>4</v>
      </c>
      <c r="F18">
        <f>SEARCH(",",B18,E18+1)</f>
        <v>7</v>
      </c>
      <c r="G18">
        <f>VALUE(MID(B18,1,D18-1))</f>
        <v>1</v>
      </c>
      <c r="H18">
        <f>VALUE(MID(B18,D18+1,E18-D18-1))</f>
        <v>0</v>
      </c>
      <c r="I18">
        <f>VALUE(MID(B18,E18+1,F18-E18-1))</f>
        <v>23</v>
      </c>
      <c r="J18">
        <f>VALUE(MID(B18,F18+1,4))</f>
        <v>32</v>
      </c>
    </row>
    <row r="19" spans="1:10" hidden="1" x14ac:dyDescent="0.25">
      <c r="A19" t="s">
        <v>17</v>
      </c>
      <c r="B19" t="s">
        <v>556</v>
      </c>
      <c r="C19" t="str">
        <f>IF(RIGHT(B19,5)="22,22","VIC20","")</f>
        <v/>
      </c>
      <c r="D19">
        <f>SEARCH(",",B19)</f>
        <v>2</v>
      </c>
      <c r="E19">
        <f>SEARCH(",",B19,D19+1)</f>
        <v>4</v>
      </c>
      <c r="F19">
        <f>SEARCH(",",B19,E19+1)</f>
        <v>7</v>
      </c>
      <c r="G19">
        <f>VALUE(MID(B19,1,D19-1))</f>
        <v>1</v>
      </c>
      <c r="H19">
        <f>VALUE(MID(B19,D19+1,E19-D19-1))</f>
        <v>4</v>
      </c>
      <c r="I19">
        <f>VALUE(MID(B19,E19+1,F19-E19-1))</f>
        <v>20</v>
      </c>
      <c r="J19">
        <f>VALUE(MID(B19,F19+1,4))</f>
        <v>24</v>
      </c>
    </row>
    <row r="20" spans="1:10" hidden="1" x14ac:dyDescent="0.25">
      <c r="A20" t="s">
        <v>18</v>
      </c>
      <c r="B20" t="s">
        <v>546</v>
      </c>
      <c r="C20" t="str">
        <f>IF(RIGHT(B20,5)="22,22","VIC20","")</f>
        <v/>
      </c>
      <c r="D20">
        <f>SEARCH(",",B20)</f>
        <v>2</v>
      </c>
      <c r="E20">
        <f>SEARCH(",",B20,D20+1)</f>
        <v>4</v>
      </c>
      <c r="F20">
        <f>SEARCH(",",B20,E20+1)</f>
        <v>7</v>
      </c>
      <c r="G20">
        <f>VALUE(MID(B20,1,D20-1))</f>
        <v>1</v>
      </c>
      <c r="H20">
        <f>VALUE(MID(B20,D20+1,E20-D20-1))</f>
        <v>0</v>
      </c>
      <c r="I20">
        <f>VALUE(MID(B20,E20+1,F20-E20-1))</f>
        <v>23</v>
      </c>
      <c r="J20">
        <f>VALUE(MID(B20,F20+1,4))</f>
        <v>32</v>
      </c>
    </row>
    <row r="21" spans="1:10" hidden="1" x14ac:dyDescent="0.25">
      <c r="A21" t="s">
        <v>19</v>
      </c>
      <c r="B21" t="s">
        <v>557</v>
      </c>
      <c r="C21" t="str">
        <f>IF(RIGHT(B21,5)="22,22","VIC20","")</f>
        <v/>
      </c>
      <c r="D21">
        <f>SEARCH(",",B21)</f>
        <v>2</v>
      </c>
      <c r="E21">
        <f>SEARCH(",",B21,D21+1)</f>
        <v>4</v>
      </c>
      <c r="F21">
        <f>SEARCH(",",B21,E21+1)</f>
        <v>7</v>
      </c>
      <c r="G21">
        <f>VALUE(MID(B21,1,D21-1))</f>
        <v>3</v>
      </c>
      <c r="H21">
        <f>VALUE(MID(B21,D21+1,E21-D21-1))</f>
        <v>1</v>
      </c>
      <c r="I21">
        <f>VALUE(MID(B21,E21+1,F21-E21-1))</f>
        <v>20</v>
      </c>
      <c r="J21">
        <f>VALUE(MID(B21,F21+1,4))</f>
        <v>30</v>
      </c>
    </row>
    <row r="22" spans="1:10" hidden="1" x14ac:dyDescent="0.25">
      <c r="A22" t="s">
        <v>20</v>
      </c>
      <c r="B22" t="s">
        <v>558</v>
      </c>
      <c r="C22" t="str">
        <f>IF(RIGHT(B22,5)="22,22","VIC20","")</f>
        <v/>
      </c>
      <c r="D22">
        <f>SEARCH(",",B22)</f>
        <v>2</v>
      </c>
      <c r="E22">
        <f>SEARCH(",",B22,D22+1)</f>
        <v>4</v>
      </c>
      <c r="F22">
        <f>SEARCH(",",B22,E22+1)</f>
        <v>7</v>
      </c>
      <c r="G22">
        <f>VALUE(MID(B22,1,D22-1))</f>
        <v>0</v>
      </c>
      <c r="H22">
        <f>VALUE(MID(B22,D22+1,E22-D22-1))</f>
        <v>0</v>
      </c>
      <c r="I22">
        <f>VALUE(MID(B22,E22+1,F22-E22-1))</f>
        <v>23</v>
      </c>
      <c r="J22">
        <f>VALUE(MID(B22,F22+1,4))</f>
        <v>32</v>
      </c>
    </row>
    <row r="23" spans="1:10" x14ac:dyDescent="0.25">
      <c r="A23" t="s">
        <v>445</v>
      </c>
      <c r="B23" t="s">
        <v>549</v>
      </c>
      <c r="C23" t="s">
        <v>544</v>
      </c>
      <c r="D23">
        <f>SEARCH(",",B23)</f>
        <v>2</v>
      </c>
      <c r="E23">
        <f>SEARCH(",",B23,D23+1)</f>
        <v>4</v>
      </c>
      <c r="F23">
        <f>SEARCH(",",B23,E23+1)</f>
        <v>7</v>
      </c>
      <c r="G23">
        <f>VALUE(MID(B23,1,D23-1))</f>
        <v>1</v>
      </c>
      <c r="H23">
        <f>VALUE(MID(B23,D23+1,E23-D23-1))</f>
        <v>9</v>
      </c>
      <c r="I23">
        <f>VALUE(MID(B23,E23+1,F23-E23-1))</f>
        <v>22</v>
      </c>
      <c r="J23">
        <f>VALUE(MID(B23,F23+1,4))</f>
        <v>22</v>
      </c>
    </row>
    <row r="24" spans="1:10" hidden="1" x14ac:dyDescent="0.25">
      <c r="A24" t="s">
        <v>22</v>
      </c>
      <c r="B24" t="s">
        <v>560</v>
      </c>
      <c r="C24" t="str">
        <f>IF(RIGHT(B24,5)="22,22","VIC20","")</f>
        <v/>
      </c>
      <c r="D24">
        <f>SEARCH(",",B24)</f>
        <v>2</v>
      </c>
      <c r="E24">
        <f>SEARCH(",",B24,D24+1)</f>
        <v>4</v>
      </c>
      <c r="F24">
        <f>SEARCH(",",B24,E24+1)</f>
        <v>7</v>
      </c>
      <c r="G24">
        <f>VALUE(MID(B24,1,D24-1))</f>
        <v>2</v>
      </c>
      <c r="H24">
        <f>VALUE(MID(B24,D24+1,E24-D24-1))</f>
        <v>1</v>
      </c>
      <c r="I24">
        <f>VALUE(MID(B24,E24+1,F24-E24-1))</f>
        <v>18</v>
      </c>
      <c r="J24">
        <f>VALUE(MID(B24,F24+1,4))</f>
        <v>30</v>
      </c>
    </row>
    <row r="25" spans="1:10" hidden="1" x14ac:dyDescent="0.25">
      <c r="A25" t="s">
        <v>23</v>
      </c>
      <c r="B25" t="s">
        <v>561</v>
      </c>
      <c r="C25" t="str">
        <f>IF(RIGHT(B25,5)="22,22","VIC20","")</f>
        <v/>
      </c>
      <c r="D25">
        <f>SEARCH(",",B25)</f>
        <v>2</v>
      </c>
      <c r="E25">
        <f>SEARCH(",",B25,D25+1)</f>
        <v>4</v>
      </c>
      <c r="F25">
        <f>SEARCH(",",B25,E25+1)</f>
        <v>7</v>
      </c>
      <c r="G25">
        <f>VALUE(MID(B25,1,D25-1))</f>
        <v>1</v>
      </c>
      <c r="H25">
        <f>VALUE(MID(B25,D25+1,E25-D25-1))</f>
        <v>0</v>
      </c>
      <c r="I25">
        <f>VALUE(MID(B25,E25+1,F25-E25-1))</f>
        <v>20</v>
      </c>
      <c r="J25">
        <f>VALUE(MID(B25,F25+1,4))</f>
        <v>30</v>
      </c>
    </row>
    <row r="26" spans="1:10" x14ac:dyDescent="0.25">
      <c r="A26" t="s">
        <v>99</v>
      </c>
      <c r="B26" t="s">
        <v>552</v>
      </c>
      <c r="C26" t="s">
        <v>544</v>
      </c>
      <c r="D26">
        <f>SEARCH(",",B26)</f>
        <v>2</v>
      </c>
      <c r="E26">
        <f>SEARCH(",",B26,D26+1)</f>
        <v>4</v>
      </c>
      <c r="F26">
        <f>SEARCH(",",B26,E26+1)</f>
        <v>7</v>
      </c>
      <c r="G26">
        <f>VALUE(MID(B26,1,D26-1))</f>
        <v>1</v>
      </c>
      <c r="H26">
        <f>VALUE(MID(B26,D26+1,E26-D26-1))</f>
        <v>1</v>
      </c>
      <c r="I26">
        <f>VALUE(MID(B26,E26+1,F26-E26-1))</f>
        <v>22</v>
      </c>
      <c r="J26">
        <f>VALUE(MID(B26,F26+1,4))</f>
        <v>22</v>
      </c>
    </row>
    <row r="27" spans="1:10" hidden="1" x14ac:dyDescent="0.25">
      <c r="A27" t="s">
        <v>25</v>
      </c>
      <c r="B27" t="s">
        <v>563</v>
      </c>
      <c r="C27" t="str">
        <f>IF(RIGHT(B27,5)="22,22","VIC20","")</f>
        <v/>
      </c>
      <c r="D27">
        <f>SEARCH(",",B27)</f>
        <v>2</v>
      </c>
      <c r="E27">
        <f>SEARCH(",",B27,D27+1)</f>
        <v>4</v>
      </c>
      <c r="F27">
        <f>SEARCH(",",B27,E27+1)</f>
        <v>7</v>
      </c>
      <c r="G27">
        <f>VALUE(MID(B27,1,D27-1))</f>
        <v>2</v>
      </c>
      <c r="H27">
        <f>VALUE(MID(B27,D27+1,E27-D27-1))</f>
        <v>0</v>
      </c>
      <c r="I27">
        <f>VALUE(MID(B27,E27+1,F27-E27-1))</f>
        <v>22</v>
      </c>
      <c r="J27">
        <f>VALUE(MID(B27,F27+1,4))</f>
        <v>32</v>
      </c>
    </row>
    <row r="28" spans="1:10" hidden="1" x14ac:dyDescent="0.25">
      <c r="A28" t="s">
        <v>26</v>
      </c>
      <c r="B28" t="s">
        <v>564</v>
      </c>
      <c r="C28" t="str">
        <f>IF(RIGHT(B28,5)="22,22","VIC20","")</f>
        <v/>
      </c>
      <c r="D28">
        <f>SEARCH(",",B28)</f>
        <v>2</v>
      </c>
      <c r="E28">
        <f>SEARCH(",",B28,D28+1)</f>
        <v>4</v>
      </c>
      <c r="F28">
        <f>SEARCH(",",B28,E28+1)</f>
        <v>7</v>
      </c>
      <c r="G28">
        <f>VALUE(MID(B28,1,D28-1))</f>
        <v>3</v>
      </c>
      <c r="H28">
        <f>VALUE(MID(B28,D28+1,E28-D28-1))</f>
        <v>2</v>
      </c>
      <c r="I28">
        <f>VALUE(MID(B28,E28+1,F28-E28-1))</f>
        <v>20</v>
      </c>
      <c r="J28">
        <f>VALUE(MID(B28,F28+1,4))</f>
        <v>28</v>
      </c>
    </row>
    <row r="29" spans="1:10" hidden="1" x14ac:dyDescent="0.25">
      <c r="A29" t="s">
        <v>27</v>
      </c>
      <c r="B29" t="s">
        <v>565</v>
      </c>
      <c r="C29" t="str">
        <f>IF(RIGHT(B29,5)="22,22","VIC20","")</f>
        <v/>
      </c>
      <c r="D29">
        <f>SEARCH(",",B29)</f>
        <v>2</v>
      </c>
      <c r="E29">
        <f>SEARCH(",",B29,D29+1)</f>
        <v>4</v>
      </c>
      <c r="F29">
        <f>SEARCH(",",B29,E29+1)</f>
        <v>7</v>
      </c>
      <c r="G29">
        <f>VALUE(MID(B29,1,D29-1))</f>
        <v>1</v>
      </c>
      <c r="H29">
        <f>VALUE(MID(B29,D29+1,E29-D29-1))</f>
        <v>2</v>
      </c>
      <c r="I29">
        <f>VALUE(MID(B29,E29+1,F29-E29-1))</f>
        <v>19</v>
      </c>
      <c r="J29">
        <f>VALUE(MID(B29,F29+1,4))</f>
        <v>28</v>
      </c>
    </row>
    <row r="30" spans="1:10" hidden="1" x14ac:dyDescent="0.25">
      <c r="A30" t="s">
        <v>28</v>
      </c>
      <c r="B30" t="s">
        <v>566</v>
      </c>
      <c r="C30" t="str">
        <f>IF(RIGHT(B30,5)="22,22","VIC20","")</f>
        <v/>
      </c>
      <c r="D30">
        <f>SEARCH(",",B30)</f>
        <v>2</v>
      </c>
      <c r="E30">
        <f>SEARCH(",",B30,D30+1)</f>
        <v>4</v>
      </c>
      <c r="F30">
        <f>SEARCH(",",B30,E30+1)</f>
        <v>7</v>
      </c>
      <c r="G30">
        <f>VALUE(MID(B30,1,D30-1))</f>
        <v>3</v>
      </c>
      <c r="H30">
        <f>VALUE(MID(B30,D30+1,E30-D30-1))</f>
        <v>2</v>
      </c>
      <c r="I30">
        <f>VALUE(MID(B30,E30+1,F30-E30-1))</f>
        <v>19</v>
      </c>
      <c r="J30">
        <f>VALUE(MID(B30,F30+1,4))</f>
        <v>28</v>
      </c>
    </row>
    <row r="31" spans="1:10" hidden="1" x14ac:dyDescent="0.25">
      <c r="A31" t="s">
        <v>29</v>
      </c>
      <c r="B31" t="s">
        <v>554</v>
      </c>
      <c r="C31" t="str">
        <f>IF(RIGHT(B31,5)="22,22","VIC20","")</f>
        <v/>
      </c>
      <c r="D31">
        <f>SEARCH(",",B31)</f>
        <v>2</v>
      </c>
      <c r="E31">
        <f>SEARCH(",",B31,D31+1)</f>
        <v>4</v>
      </c>
      <c r="F31">
        <f>SEARCH(",",B31,E31+1)</f>
        <v>7</v>
      </c>
      <c r="G31">
        <f>VALUE(MID(B31,1,D31-1))</f>
        <v>1</v>
      </c>
      <c r="H31">
        <f>VALUE(MID(B31,D31+1,E31-D31-1))</f>
        <v>1</v>
      </c>
      <c r="I31">
        <f>VALUE(MID(B31,E31+1,F31-E31-1))</f>
        <v>20</v>
      </c>
      <c r="J31">
        <f>VALUE(MID(B31,F31+1,4))</f>
        <v>30</v>
      </c>
    </row>
    <row r="32" spans="1:10" hidden="1" x14ac:dyDescent="0.25">
      <c r="A32" t="s">
        <v>30</v>
      </c>
      <c r="B32" t="s">
        <v>567</v>
      </c>
      <c r="C32" t="str">
        <f>IF(RIGHT(B32,5)="22,22","VIC20","")</f>
        <v/>
      </c>
      <c r="D32">
        <f>SEARCH(",",B32)</f>
        <v>2</v>
      </c>
      <c r="E32">
        <f>SEARCH(",",B32,D32+1)</f>
        <v>4</v>
      </c>
      <c r="F32">
        <f>SEARCH(",",B32,E32+1)</f>
        <v>7</v>
      </c>
      <c r="G32">
        <f>VALUE(MID(B32,1,D32-1))</f>
        <v>0</v>
      </c>
      <c r="H32">
        <f>VALUE(MID(B32,D32+1,E32-D32-1))</f>
        <v>0</v>
      </c>
      <c r="I32">
        <f>VALUE(MID(B32,E32+1,F32-E32-1))</f>
        <v>23</v>
      </c>
      <c r="J32">
        <f>VALUE(MID(B32,F32+1,4))</f>
        <v>30</v>
      </c>
    </row>
    <row r="33" spans="1:10" hidden="1" x14ac:dyDescent="0.25">
      <c r="A33" t="s">
        <v>31</v>
      </c>
      <c r="B33" t="s">
        <v>551</v>
      </c>
      <c r="C33" t="str">
        <f>IF(RIGHT(B33,5)="22,22","VIC20","")</f>
        <v/>
      </c>
      <c r="D33">
        <f>SEARCH(",",B33)</f>
        <v>2</v>
      </c>
      <c r="E33">
        <f>SEARCH(",",B33,D33+1)</f>
        <v>4</v>
      </c>
      <c r="F33">
        <f>SEARCH(",",B33,E33+1)</f>
        <v>7</v>
      </c>
      <c r="G33">
        <f>VALUE(MID(B33,1,D33-1))</f>
        <v>1</v>
      </c>
      <c r="H33">
        <f>VALUE(MID(B33,D33+1,E33-D33-1))</f>
        <v>0</v>
      </c>
      <c r="I33">
        <f>VALUE(MID(B33,E33+1,F33-E33-1))</f>
        <v>22</v>
      </c>
      <c r="J33">
        <f>VALUE(MID(B33,F33+1,4))</f>
        <v>32</v>
      </c>
    </row>
    <row r="34" spans="1:10" hidden="1" x14ac:dyDescent="0.25">
      <c r="A34" t="s">
        <v>32</v>
      </c>
      <c r="B34" t="s">
        <v>568</v>
      </c>
      <c r="C34" t="str">
        <f>IF(RIGHT(B34,5)="22,22","VIC20","")</f>
        <v/>
      </c>
      <c r="D34">
        <f>SEARCH(",",B34)</f>
        <v>2</v>
      </c>
      <c r="E34">
        <f>SEARCH(",",B34,D34+1)</f>
        <v>4</v>
      </c>
      <c r="F34">
        <f>SEARCH(",",B34,E34+1)</f>
        <v>7</v>
      </c>
      <c r="G34">
        <f>VALUE(MID(B34,1,D34-1))</f>
        <v>1</v>
      </c>
      <c r="H34">
        <f>VALUE(MID(B34,D34+1,E34-D34-1))</f>
        <v>1</v>
      </c>
      <c r="I34">
        <f>VALUE(MID(B34,E34+1,F34-E34-1))</f>
        <v>21</v>
      </c>
      <c r="J34">
        <f>VALUE(MID(B34,F34+1,4))</f>
        <v>25</v>
      </c>
    </row>
    <row r="35" spans="1:10" hidden="1" x14ac:dyDescent="0.25">
      <c r="A35" t="s">
        <v>33</v>
      </c>
      <c r="B35" t="s">
        <v>548</v>
      </c>
      <c r="C35" t="str">
        <f>IF(RIGHT(B35,5)="22,22","VIC20","")</f>
        <v/>
      </c>
      <c r="D35">
        <f>SEARCH(",",B35)</f>
        <v>2</v>
      </c>
      <c r="E35">
        <f>SEARCH(",",B35,D35+1)</f>
        <v>4</v>
      </c>
      <c r="F35">
        <f>SEARCH(",",B35,E35+1)</f>
        <v>7</v>
      </c>
      <c r="G35">
        <f>VALUE(MID(B35,1,D35-1))</f>
        <v>1</v>
      </c>
      <c r="H35">
        <f>VALUE(MID(B35,D35+1,E35-D35-1))</f>
        <v>1</v>
      </c>
      <c r="I35">
        <f>VALUE(MID(B35,E35+1,F35-E35-1))</f>
        <v>22</v>
      </c>
      <c r="J35">
        <f>VALUE(MID(B35,F35+1,4))</f>
        <v>30</v>
      </c>
    </row>
    <row r="36" spans="1:10" x14ac:dyDescent="0.25">
      <c r="A36" t="s">
        <v>512</v>
      </c>
      <c r="B36" t="s">
        <v>664</v>
      </c>
      <c r="C36" t="s">
        <v>544</v>
      </c>
      <c r="D36">
        <f>SEARCH(",",B36)</f>
        <v>2</v>
      </c>
      <c r="E36">
        <f>SEARCH(",",B36,D36+1)</f>
        <v>4</v>
      </c>
      <c r="F36">
        <f>SEARCH(",",B36,E36+1)</f>
        <v>7</v>
      </c>
      <c r="G36">
        <f>VALUE(MID(B36,1,D36-1))</f>
        <v>1</v>
      </c>
      <c r="H36">
        <f>VALUE(MID(B36,D36+1,E36-D36-1))</f>
        <v>1</v>
      </c>
      <c r="I36">
        <f>VALUE(MID(B36,E36+1,F36-E36-1))</f>
        <v>20</v>
      </c>
      <c r="J36">
        <f>VALUE(MID(B36,F36+1,4))</f>
        <v>20</v>
      </c>
    </row>
    <row r="37" spans="1:10" hidden="1" x14ac:dyDescent="0.25">
      <c r="A37" t="s">
        <v>35</v>
      </c>
      <c r="B37" t="s">
        <v>558</v>
      </c>
      <c r="C37" t="str">
        <f>IF(RIGHT(B37,5)="22,22","VIC20","")</f>
        <v/>
      </c>
      <c r="D37">
        <f>SEARCH(",",B37)</f>
        <v>2</v>
      </c>
      <c r="E37">
        <f>SEARCH(",",B37,D37+1)</f>
        <v>4</v>
      </c>
      <c r="F37">
        <f>SEARCH(",",B37,E37+1)</f>
        <v>7</v>
      </c>
      <c r="G37">
        <f>VALUE(MID(B37,1,D37-1))</f>
        <v>0</v>
      </c>
      <c r="H37">
        <f>VALUE(MID(B37,D37+1,E37-D37-1))</f>
        <v>0</v>
      </c>
      <c r="I37">
        <f>VALUE(MID(B37,E37+1,F37-E37-1))</f>
        <v>23</v>
      </c>
      <c r="J37">
        <f>VALUE(MID(B37,F37+1,4))</f>
        <v>32</v>
      </c>
    </row>
    <row r="38" spans="1:10" hidden="1" x14ac:dyDescent="0.25">
      <c r="A38" t="s">
        <v>36</v>
      </c>
      <c r="B38" t="s">
        <v>569</v>
      </c>
      <c r="C38" t="str">
        <f>IF(RIGHT(B38,5)="22,22","VIC20","")</f>
        <v/>
      </c>
      <c r="D38">
        <f>SEARCH(",",B38)</f>
        <v>2</v>
      </c>
      <c r="E38">
        <f>SEARCH(",",B38,D38+1)</f>
        <v>4</v>
      </c>
      <c r="F38">
        <f>SEARCH(",",B38,E38+1)</f>
        <v>7</v>
      </c>
      <c r="G38">
        <f>VALUE(MID(B38,1,D38-1))</f>
        <v>4</v>
      </c>
      <c r="H38">
        <f>VALUE(MID(B38,D38+1,E38-D38-1))</f>
        <v>0</v>
      </c>
      <c r="I38">
        <f>VALUE(MID(B38,E38+1,F38-E38-1))</f>
        <v>20</v>
      </c>
      <c r="J38">
        <f>VALUE(MID(B38,F38+1,4))</f>
        <v>32</v>
      </c>
    </row>
    <row r="39" spans="1:10" hidden="1" x14ac:dyDescent="0.25">
      <c r="A39" t="s">
        <v>37</v>
      </c>
      <c r="B39" t="s">
        <v>570</v>
      </c>
      <c r="C39" t="str">
        <f>IF(RIGHT(B39,5)="22,22","VIC20","")</f>
        <v/>
      </c>
      <c r="D39">
        <f>SEARCH(",",B39)</f>
        <v>2</v>
      </c>
      <c r="E39">
        <f>SEARCH(",",B39,D39+1)</f>
        <v>4</v>
      </c>
      <c r="F39">
        <f>SEARCH(",",B39,E39+1)</f>
        <v>7</v>
      </c>
      <c r="G39">
        <f>VALUE(MID(B39,1,D39-1))</f>
        <v>2</v>
      </c>
      <c r="H39">
        <f>VALUE(MID(B39,D39+1,E39-D39-1))</f>
        <v>1</v>
      </c>
      <c r="I39">
        <f>VALUE(MID(B39,E39+1,F39-E39-1))</f>
        <v>21</v>
      </c>
      <c r="J39">
        <f>VALUE(MID(B39,F39+1,4))</f>
        <v>30</v>
      </c>
    </row>
    <row r="40" spans="1:10" hidden="1" x14ac:dyDescent="0.25">
      <c r="A40" t="s">
        <v>38</v>
      </c>
      <c r="B40" t="s">
        <v>548</v>
      </c>
      <c r="C40" t="str">
        <f>IF(RIGHT(B40,5)="22,22","VIC20","")</f>
        <v/>
      </c>
      <c r="D40">
        <f>SEARCH(",",B40)</f>
        <v>2</v>
      </c>
      <c r="E40">
        <f>SEARCH(",",B40,D40+1)</f>
        <v>4</v>
      </c>
      <c r="F40">
        <f>SEARCH(",",B40,E40+1)</f>
        <v>7</v>
      </c>
      <c r="G40">
        <f>VALUE(MID(B40,1,D40-1))</f>
        <v>1</v>
      </c>
      <c r="H40">
        <f>VALUE(MID(B40,D40+1,E40-D40-1))</f>
        <v>1</v>
      </c>
      <c r="I40">
        <f>VALUE(MID(B40,E40+1,F40-E40-1))</f>
        <v>22</v>
      </c>
      <c r="J40">
        <f>VALUE(MID(B40,F40+1,4))</f>
        <v>30</v>
      </c>
    </row>
    <row r="41" spans="1:10" hidden="1" x14ac:dyDescent="0.25">
      <c r="A41" t="s">
        <v>39</v>
      </c>
      <c r="B41" t="s">
        <v>569</v>
      </c>
      <c r="C41" t="str">
        <f>IF(RIGHT(B41,5)="22,22","VIC20","")</f>
        <v/>
      </c>
      <c r="D41">
        <f>SEARCH(",",B41)</f>
        <v>2</v>
      </c>
      <c r="E41">
        <f>SEARCH(",",B41,D41+1)</f>
        <v>4</v>
      </c>
      <c r="F41">
        <f>SEARCH(",",B41,E41+1)</f>
        <v>7</v>
      </c>
      <c r="G41">
        <f>VALUE(MID(B41,1,D41-1))</f>
        <v>4</v>
      </c>
      <c r="H41">
        <f>VALUE(MID(B41,D41+1,E41-D41-1))</f>
        <v>0</v>
      </c>
      <c r="I41">
        <f>VALUE(MID(B41,E41+1,F41-E41-1))</f>
        <v>20</v>
      </c>
      <c r="J41">
        <f>VALUE(MID(B41,F41+1,4))</f>
        <v>32</v>
      </c>
    </row>
    <row r="42" spans="1:10" hidden="1" x14ac:dyDescent="0.25">
      <c r="A42" t="s">
        <v>40</v>
      </c>
      <c r="B42" t="s">
        <v>558</v>
      </c>
      <c r="C42" t="str">
        <f>IF(RIGHT(B42,5)="22,22","VIC20","")</f>
        <v/>
      </c>
      <c r="D42">
        <f>SEARCH(",",B42)</f>
        <v>2</v>
      </c>
      <c r="E42">
        <f>SEARCH(",",B42,D42+1)</f>
        <v>4</v>
      </c>
      <c r="F42">
        <f>SEARCH(",",B42,E42+1)</f>
        <v>7</v>
      </c>
      <c r="G42">
        <f>VALUE(MID(B42,1,D42-1))</f>
        <v>0</v>
      </c>
      <c r="H42">
        <f>VALUE(MID(B42,D42+1,E42-D42-1))</f>
        <v>0</v>
      </c>
      <c r="I42">
        <f>VALUE(MID(B42,E42+1,F42-E42-1))</f>
        <v>23</v>
      </c>
      <c r="J42">
        <f>VALUE(MID(B42,F42+1,4))</f>
        <v>32</v>
      </c>
    </row>
    <row r="43" spans="1:10" hidden="1" x14ac:dyDescent="0.25">
      <c r="A43" t="s">
        <v>41</v>
      </c>
      <c r="B43" t="s">
        <v>571</v>
      </c>
      <c r="C43" t="str">
        <f>IF(RIGHT(B43,5)="22,22","VIC20","")</f>
        <v/>
      </c>
      <c r="D43">
        <f>SEARCH(",",B43)</f>
        <v>2</v>
      </c>
      <c r="E43">
        <f>SEARCH(",",B43,D43+1)</f>
        <v>4</v>
      </c>
      <c r="F43">
        <f>SEARCH(",",B43,E43+1)</f>
        <v>7</v>
      </c>
      <c r="G43">
        <f>VALUE(MID(B43,1,D43-1))</f>
        <v>0</v>
      </c>
      <c r="H43">
        <f>VALUE(MID(B43,D43+1,E43-D43-1))</f>
        <v>1</v>
      </c>
      <c r="I43">
        <f>VALUE(MID(B43,E43+1,F43-E43-1))</f>
        <v>21</v>
      </c>
      <c r="J43">
        <f>VALUE(MID(B43,F43+1,4))</f>
        <v>30</v>
      </c>
    </row>
    <row r="44" spans="1:10" hidden="1" x14ac:dyDescent="0.25">
      <c r="A44" t="s">
        <v>42</v>
      </c>
      <c r="B44" t="s">
        <v>550</v>
      </c>
      <c r="C44" t="str">
        <f>IF(RIGHT(B44,5)="22,22","VIC20","")</f>
        <v/>
      </c>
      <c r="D44">
        <f>SEARCH(",",B44)</f>
        <v>2</v>
      </c>
      <c r="E44">
        <f>SEARCH(",",B44,D44+1)</f>
        <v>4</v>
      </c>
      <c r="F44">
        <f>SEARCH(",",B44,E44+1)</f>
        <v>7</v>
      </c>
      <c r="G44">
        <f>VALUE(MID(B44,1,D44-1))</f>
        <v>0</v>
      </c>
      <c r="H44">
        <f>VALUE(MID(B44,D44+1,E44-D44-1))</f>
        <v>1</v>
      </c>
      <c r="I44">
        <f>VALUE(MID(B44,E44+1,F44-E44-1))</f>
        <v>23</v>
      </c>
      <c r="J44">
        <f>VALUE(MID(B44,F44+1,4))</f>
        <v>30</v>
      </c>
    </row>
    <row r="45" spans="1:10" hidden="1" x14ac:dyDescent="0.25">
      <c r="A45" t="s">
        <v>43</v>
      </c>
      <c r="B45" t="s">
        <v>572</v>
      </c>
      <c r="C45" t="str">
        <f>IF(RIGHT(B45,5)="22,22","VIC20","")</f>
        <v/>
      </c>
      <c r="D45">
        <f>SEARCH(",",B45)</f>
        <v>2</v>
      </c>
      <c r="E45">
        <f>SEARCH(",",B45,D45+1)</f>
        <v>4</v>
      </c>
      <c r="F45">
        <f>SEARCH(",",B45,E45+1)</f>
        <v>6</v>
      </c>
      <c r="G45">
        <f>VALUE(MID(B45,1,D45-1))</f>
        <v>0</v>
      </c>
      <c r="H45">
        <f>VALUE(MID(B45,D45+1,E45-D45-1))</f>
        <v>0</v>
      </c>
      <c r="I45">
        <f>VALUE(MID(B45,E45+1,F45-E45-1))</f>
        <v>8</v>
      </c>
      <c r="J45">
        <f>VALUE(MID(B45,F45+1,4))</f>
        <v>32</v>
      </c>
    </row>
    <row r="46" spans="1:10" hidden="1" x14ac:dyDescent="0.25">
      <c r="A46" t="s">
        <v>44</v>
      </c>
      <c r="B46" t="s">
        <v>547</v>
      </c>
      <c r="C46" t="str">
        <f>IF(RIGHT(B46,5)="22,22","VIC20","")</f>
        <v/>
      </c>
      <c r="D46">
        <f>SEARCH(",",B46)</f>
        <v>2</v>
      </c>
      <c r="E46">
        <f>SEARCH(",",B46,D46+1)</f>
        <v>4</v>
      </c>
      <c r="F46">
        <f>SEARCH(",",B46,E46+1)</f>
        <v>7</v>
      </c>
      <c r="G46">
        <f>VALUE(MID(B46,1,D46-1))</f>
        <v>1</v>
      </c>
      <c r="H46">
        <f>VALUE(MID(B46,D46+1,E46-D46-1))</f>
        <v>1</v>
      </c>
      <c r="I46">
        <f>VALUE(MID(B46,E46+1,F46-E46-1))</f>
        <v>18</v>
      </c>
      <c r="J46">
        <f>VALUE(MID(B46,F46+1,4))</f>
        <v>30</v>
      </c>
    </row>
    <row r="47" spans="1:10" hidden="1" x14ac:dyDescent="0.25">
      <c r="A47" t="s">
        <v>45</v>
      </c>
      <c r="B47" t="s">
        <v>553</v>
      </c>
      <c r="C47" t="str">
        <f>IF(RIGHT(B47,5)="22,22","VIC20","")</f>
        <v/>
      </c>
      <c r="D47">
        <f>SEARCH(",",B47)</f>
        <v>2</v>
      </c>
      <c r="E47">
        <f>SEARCH(",",B47,D47+1)</f>
        <v>4</v>
      </c>
      <c r="F47">
        <f>SEARCH(",",B47,E47+1)</f>
        <v>7</v>
      </c>
      <c r="G47">
        <f>VALUE(MID(B47,1,D47-1))</f>
        <v>1</v>
      </c>
      <c r="H47">
        <f>VALUE(MID(B47,D47+1,E47-D47-1))</f>
        <v>1</v>
      </c>
      <c r="I47">
        <f>VALUE(MID(B47,E47+1,F47-E47-1))</f>
        <v>19</v>
      </c>
      <c r="J47">
        <f>VALUE(MID(B47,F47+1,4))</f>
        <v>30</v>
      </c>
    </row>
    <row r="48" spans="1:10" hidden="1" x14ac:dyDescent="0.25">
      <c r="A48" t="s">
        <v>46</v>
      </c>
      <c r="B48" t="s">
        <v>569</v>
      </c>
      <c r="C48" t="str">
        <f>IF(RIGHT(B48,5)="22,22","VIC20","")</f>
        <v/>
      </c>
      <c r="D48">
        <f>SEARCH(",",B48)</f>
        <v>2</v>
      </c>
      <c r="E48">
        <f>SEARCH(",",B48,D48+1)</f>
        <v>4</v>
      </c>
      <c r="F48">
        <f>SEARCH(",",B48,E48+1)</f>
        <v>7</v>
      </c>
      <c r="G48">
        <f>VALUE(MID(B48,1,D48-1))</f>
        <v>4</v>
      </c>
      <c r="H48">
        <f>VALUE(MID(B48,D48+1,E48-D48-1))</f>
        <v>0</v>
      </c>
      <c r="I48">
        <f>VALUE(MID(B48,E48+1,F48-E48-1))</f>
        <v>20</v>
      </c>
      <c r="J48">
        <f>VALUE(MID(B48,F48+1,4))</f>
        <v>32</v>
      </c>
    </row>
    <row r="49" spans="1:10" hidden="1" x14ac:dyDescent="0.25">
      <c r="A49" t="s">
        <v>47</v>
      </c>
      <c r="B49" t="s">
        <v>573</v>
      </c>
      <c r="C49" t="str">
        <f>IF(RIGHT(B49,5)="22,22","VIC20","")</f>
        <v/>
      </c>
      <c r="D49">
        <f>SEARCH(",",B49)</f>
        <v>2</v>
      </c>
      <c r="E49">
        <f>SEARCH(",",B49,D49+1)</f>
        <v>4</v>
      </c>
      <c r="F49">
        <f>SEARCH(",",B49,E49+1)</f>
        <v>7</v>
      </c>
      <c r="G49">
        <f>VALUE(MID(B49,1,D49-1))</f>
        <v>3</v>
      </c>
      <c r="H49">
        <f>VALUE(MID(B49,D49+1,E49-D49-1))</f>
        <v>0</v>
      </c>
      <c r="I49">
        <f>VALUE(MID(B49,E49+1,F49-E49-1))</f>
        <v>21</v>
      </c>
      <c r="J49">
        <f>VALUE(MID(B49,F49+1,4))</f>
        <v>32</v>
      </c>
    </row>
    <row r="50" spans="1:10" x14ac:dyDescent="0.25">
      <c r="A50" t="s">
        <v>24</v>
      </c>
      <c r="B50" t="s">
        <v>562</v>
      </c>
      <c r="C50" t="s">
        <v>544</v>
      </c>
      <c r="D50">
        <f>SEARCH(",",B50)</f>
        <v>2</v>
      </c>
      <c r="E50">
        <f>SEARCH(",",B50,D50+1)</f>
        <v>4</v>
      </c>
      <c r="F50">
        <f>SEARCH(",",B50,E50+1)</f>
        <v>7</v>
      </c>
      <c r="G50">
        <f>VALUE(MID(B50,1,D50-1))</f>
        <v>0</v>
      </c>
      <c r="H50">
        <f>VALUE(MID(B50,D50+1,E50-D50-1))</f>
        <v>0</v>
      </c>
      <c r="I50">
        <f>VALUE(MID(B50,E50+1,F50-E50-1))</f>
        <v>22</v>
      </c>
      <c r="J50">
        <f>VALUE(MID(B50,F50+1,4))</f>
        <v>22</v>
      </c>
    </row>
    <row r="51" spans="1:10" hidden="1" x14ac:dyDescent="0.25">
      <c r="A51" t="s">
        <v>49</v>
      </c>
      <c r="B51" t="s">
        <v>573</v>
      </c>
      <c r="C51" t="str">
        <f>IF(RIGHT(B51,5)="22,22","VIC20","")</f>
        <v/>
      </c>
      <c r="D51">
        <f>SEARCH(",",B51)</f>
        <v>2</v>
      </c>
      <c r="E51">
        <f>SEARCH(",",B51,D51+1)</f>
        <v>4</v>
      </c>
      <c r="F51">
        <f>SEARCH(",",B51,E51+1)</f>
        <v>7</v>
      </c>
      <c r="G51">
        <f>VALUE(MID(B51,1,D51-1))</f>
        <v>3</v>
      </c>
      <c r="H51">
        <f>VALUE(MID(B51,D51+1,E51-D51-1))</f>
        <v>0</v>
      </c>
      <c r="I51">
        <f>VALUE(MID(B51,E51+1,F51-E51-1))</f>
        <v>21</v>
      </c>
      <c r="J51">
        <f>VALUE(MID(B51,F51+1,4))</f>
        <v>32</v>
      </c>
    </row>
    <row r="52" spans="1:10" x14ac:dyDescent="0.25">
      <c r="A52" t="s">
        <v>92</v>
      </c>
      <c r="B52" t="s">
        <v>552</v>
      </c>
      <c r="C52" t="s">
        <v>544</v>
      </c>
      <c r="D52">
        <f>SEARCH(",",B52)</f>
        <v>2</v>
      </c>
      <c r="E52">
        <f>SEARCH(",",B52,D52+1)</f>
        <v>4</v>
      </c>
      <c r="F52">
        <f>SEARCH(",",B52,E52+1)</f>
        <v>7</v>
      </c>
      <c r="G52">
        <f>VALUE(MID(B52,1,D52-1))</f>
        <v>1</v>
      </c>
      <c r="H52">
        <f>VALUE(MID(B52,D52+1,E52-D52-1))</f>
        <v>1</v>
      </c>
      <c r="I52">
        <f>VALUE(MID(B52,E52+1,F52-E52-1))</f>
        <v>22</v>
      </c>
      <c r="J52">
        <f>VALUE(MID(B52,F52+1,4))</f>
        <v>22</v>
      </c>
    </row>
    <row r="53" spans="1:10" hidden="1" x14ac:dyDescent="0.25">
      <c r="A53" t="s">
        <v>51</v>
      </c>
      <c r="B53" t="s">
        <v>574</v>
      </c>
      <c r="C53" t="str">
        <f>IF(RIGHT(B53,5)="22,22","VIC20","")</f>
        <v/>
      </c>
      <c r="D53">
        <f>SEARCH(",",B53)</f>
        <v>2</v>
      </c>
      <c r="E53">
        <f>SEARCH(",",B53,D53+1)</f>
        <v>4</v>
      </c>
      <c r="F53">
        <f>SEARCH(",",B53,E53+1)</f>
        <v>7</v>
      </c>
      <c r="G53">
        <f>VALUE(MID(B53,1,D53-1))</f>
        <v>2</v>
      </c>
      <c r="H53">
        <f>VALUE(MID(B53,D53+1,E53-D53-1))</f>
        <v>0</v>
      </c>
      <c r="I53">
        <f>VALUE(MID(B53,E53+1,F53-E53-1))</f>
        <v>20</v>
      </c>
      <c r="J53">
        <f>VALUE(MID(B53,F53+1,4))</f>
        <v>32</v>
      </c>
    </row>
    <row r="54" spans="1:10" hidden="1" x14ac:dyDescent="0.25">
      <c r="A54" t="s">
        <v>52</v>
      </c>
      <c r="B54" t="s">
        <v>575</v>
      </c>
      <c r="C54" t="str">
        <f>IF(RIGHT(B54,5)="22,22","VIC20","")</f>
        <v/>
      </c>
      <c r="D54">
        <f>SEARCH(",",B54)</f>
        <v>2</v>
      </c>
      <c r="E54">
        <f>SEARCH(",",B54,D54+1)</f>
        <v>4</v>
      </c>
      <c r="F54">
        <f>SEARCH(",",B54,E54+1)</f>
        <v>7</v>
      </c>
      <c r="G54">
        <f>VALUE(MID(B54,1,D54-1))</f>
        <v>2</v>
      </c>
      <c r="H54">
        <f>VALUE(MID(B54,D54+1,E54-D54-1))</f>
        <v>0</v>
      </c>
      <c r="I54">
        <f>VALUE(MID(B54,E54+1,F54-E54-1))</f>
        <v>21</v>
      </c>
      <c r="J54">
        <f>VALUE(MID(B54,F54+1,4))</f>
        <v>32</v>
      </c>
    </row>
    <row r="55" spans="1:10" hidden="1" x14ac:dyDescent="0.25">
      <c r="A55" t="s">
        <v>53</v>
      </c>
      <c r="B55" t="s">
        <v>557</v>
      </c>
      <c r="C55" t="str">
        <f>IF(RIGHT(B55,5)="22,22","VIC20","")</f>
        <v/>
      </c>
      <c r="D55">
        <f>SEARCH(",",B55)</f>
        <v>2</v>
      </c>
      <c r="E55">
        <f>SEARCH(",",B55,D55+1)</f>
        <v>4</v>
      </c>
      <c r="F55">
        <f>SEARCH(",",B55,E55+1)</f>
        <v>7</v>
      </c>
      <c r="G55">
        <f>VALUE(MID(B55,1,D55-1))</f>
        <v>3</v>
      </c>
      <c r="H55">
        <f>VALUE(MID(B55,D55+1,E55-D55-1))</f>
        <v>1</v>
      </c>
      <c r="I55">
        <f>VALUE(MID(B55,E55+1,F55-E55-1))</f>
        <v>20</v>
      </c>
      <c r="J55">
        <f>VALUE(MID(B55,F55+1,4))</f>
        <v>30</v>
      </c>
    </row>
    <row r="56" spans="1:10" hidden="1" x14ac:dyDescent="0.25">
      <c r="A56" t="s">
        <v>54</v>
      </c>
      <c r="B56" t="s">
        <v>570</v>
      </c>
      <c r="C56" t="str">
        <f>IF(RIGHT(B56,5)="22,22","VIC20","")</f>
        <v/>
      </c>
      <c r="D56">
        <f>SEARCH(",",B56)</f>
        <v>2</v>
      </c>
      <c r="E56">
        <f>SEARCH(",",B56,D56+1)</f>
        <v>4</v>
      </c>
      <c r="F56">
        <f>SEARCH(",",B56,E56+1)</f>
        <v>7</v>
      </c>
      <c r="G56">
        <f>VALUE(MID(B56,1,D56-1))</f>
        <v>2</v>
      </c>
      <c r="H56">
        <f>VALUE(MID(B56,D56+1,E56-D56-1))</f>
        <v>1</v>
      </c>
      <c r="I56">
        <f>VALUE(MID(B56,E56+1,F56-E56-1))</f>
        <v>21</v>
      </c>
      <c r="J56">
        <f>VALUE(MID(B56,F56+1,4))</f>
        <v>30</v>
      </c>
    </row>
    <row r="57" spans="1:10" hidden="1" x14ac:dyDescent="0.25">
      <c r="A57" t="s">
        <v>55</v>
      </c>
      <c r="B57" t="s">
        <v>547</v>
      </c>
      <c r="C57" t="str">
        <f>IF(RIGHT(B57,5)="22,22","VIC20","")</f>
        <v/>
      </c>
      <c r="D57">
        <f>SEARCH(",",B57)</f>
        <v>2</v>
      </c>
      <c r="E57">
        <f>SEARCH(",",B57,D57+1)</f>
        <v>4</v>
      </c>
      <c r="F57">
        <f>SEARCH(",",B57,E57+1)</f>
        <v>7</v>
      </c>
      <c r="G57">
        <f>VALUE(MID(B57,1,D57-1))</f>
        <v>1</v>
      </c>
      <c r="H57">
        <f>VALUE(MID(B57,D57+1,E57-D57-1))</f>
        <v>1</v>
      </c>
      <c r="I57">
        <f>VALUE(MID(B57,E57+1,F57-E57-1))</f>
        <v>18</v>
      </c>
      <c r="J57">
        <f>VALUE(MID(B57,F57+1,4))</f>
        <v>30</v>
      </c>
    </row>
    <row r="58" spans="1:10" hidden="1" x14ac:dyDescent="0.25">
      <c r="A58" t="s">
        <v>56</v>
      </c>
      <c r="B58" t="s">
        <v>570</v>
      </c>
      <c r="C58" t="str">
        <f>IF(RIGHT(B58,5)="22,22","VIC20","")</f>
        <v/>
      </c>
      <c r="D58">
        <f>SEARCH(",",B58)</f>
        <v>2</v>
      </c>
      <c r="E58">
        <f>SEARCH(",",B58,D58+1)</f>
        <v>4</v>
      </c>
      <c r="F58">
        <f>SEARCH(",",B58,E58+1)</f>
        <v>7</v>
      </c>
      <c r="G58">
        <f>VALUE(MID(B58,1,D58-1))</f>
        <v>2</v>
      </c>
      <c r="H58">
        <f>VALUE(MID(B58,D58+1,E58-D58-1))</f>
        <v>1</v>
      </c>
      <c r="I58">
        <f>VALUE(MID(B58,E58+1,F58-E58-1))</f>
        <v>21</v>
      </c>
      <c r="J58">
        <f>VALUE(MID(B58,F58+1,4))</f>
        <v>30</v>
      </c>
    </row>
    <row r="59" spans="1:10" hidden="1" x14ac:dyDescent="0.25">
      <c r="A59" t="s">
        <v>57</v>
      </c>
      <c r="B59" t="s">
        <v>557</v>
      </c>
      <c r="C59" t="str">
        <f>IF(RIGHT(B59,5)="22,22","VIC20","")</f>
        <v/>
      </c>
      <c r="D59">
        <f>SEARCH(",",B59)</f>
        <v>2</v>
      </c>
      <c r="E59">
        <f>SEARCH(",",B59,D59+1)</f>
        <v>4</v>
      </c>
      <c r="F59">
        <f>SEARCH(",",B59,E59+1)</f>
        <v>7</v>
      </c>
      <c r="G59">
        <f>VALUE(MID(B59,1,D59-1))</f>
        <v>3</v>
      </c>
      <c r="H59">
        <f>VALUE(MID(B59,D59+1,E59-D59-1))</f>
        <v>1</v>
      </c>
      <c r="I59">
        <f>VALUE(MID(B59,E59+1,F59-E59-1))</f>
        <v>20</v>
      </c>
      <c r="J59">
        <f>VALUE(MID(B59,F59+1,4))</f>
        <v>30</v>
      </c>
    </row>
    <row r="60" spans="1:10" hidden="1" x14ac:dyDescent="0.25">
      <c r="A60" t="s">
        <v>58</v>
      </c>
      <c r="B60" t="s">
        <v>548</v>
      </c>
      <c r="C60" t="str">
        <f>IF(RIGHT(B60,5)="22,22","VIC20","")</f>
        <v/>
      </c>
      <c r="D60">
        <f>SEARCH(",",B60)</f>
        <v>2</v>
      </c>
      <c r="E60">
        <f>SEARCH(",",B60,D60+1)</f>
        <v>4</v>
      </c>
      <c r="F60">
        <f>SEARCH(",",B60,E60+1)</f>
        <v>7</v>
      </c>
      <c r="G60">
        <f>VALUE(MID(B60,1,D60-1))</f>
        <v>1</v>
      </c>
      <c r="H60">
        <f>VALUE(MID(B60,D60+1,E60-D60-1))</f>
        <v>1</v>
      </c>
      <c r="I60">
        <f>VALUE(MID(B60,E60+1,F60-E60-1))</f>
        <v>22</v>
      </c>
      <c r="J60">
        <f>VALUE(MID(B60,F60+1,4))</f>
        <v>30</v>
      </c>
    </row>
    <row r="61" spans="1:10" hidden="1" x14ac:dyDescent="0.25">
      <c r="A61" t="s">
        <v>59</v>
      </c>
      <c r="B61" t="s">
        <v>553</v>
      </c>
      <c r="C61" t="str">
        <f>IF(RIGHT(B61,5)="22,22","VIC20","")</f>
        <v/>
      </c>
      <c r="D61">
        <f>SEARCH(",",B61)</f>
        <v>2</v>
      </c>
      <c r="E61">
        <f>SEARCH(",",B61,D61+1)</f>
        <v>4</v>
      </c>
      <c r="F61">
        <f>SEARCH(",",B61,E61+1)</f>
        <v>7</v>
      </c>
      <c r="G61">
        <f>VALUE(MID(B61,1,D61-1))</f>
        <v>1</v>
      </c>
      <c r="H61">
        <f>VALUE(MID(B61,D61+1,E61-D61-1))</f>
        <v>1</v>
      </c>
      <c r="I61">
        <f>VALUE(MID(B61,E61+1,F61-E61-1))</f>
        <v>19</v>
      </c>
      <c r="J61">
        <f>VALUE(MID(B61,F61+1,4))</f>
        <v>30</v>
      </c>
    </row>
    <row r="62" spans="1:10" x14ac:dyDescent="0.25">
      <c r="A62" t="s">
        <v>91</v>
      </c>
      <c r="B62" t="s">
        <v>552</v>
      </c>
      <c r="C62" t="s">
        <v>544</v>
      </c>
      <c r="D62">
        <f>SEARCH(",",B62)</f>
        <v>2</v>
      </c>
      <c r="E62">
        <f>SEARCH(",",B62,D62+1)</f>
        <v>4</v>
      </c>
      <c r="F62">
        <f>SEARCH(",",B62,E62+1)</f>
        <v>7</v>
      </c>
      <c r="G62">
        <f>VALUE(MID(B62,1,D62-1))</f>
        <v>1</v>
      </c>
      <c r="H62">
        <f>VALUE(MID(B62,D62+1,E62-D62-1))</f>
        <v>1</v>
      </c>
      <c r="I62">
        <f>VALUE(MID(B62,E62+1,F62-E62-1))</f>
        <v>22</v>
      </c>
      <c r="J62">
        <f>VALUE(MID(B62,F62+1,4))</f>
        <v>22</v>
      </c>
    </row>
    <row r="63" spans="1:10" x14ac:dyDescent="0.25">
      <c r="A63" t="s">
        <v>332</v>
      </c>
      <c r="B63" t="s">
        <v>552</v>
      </c>
      <c r="C63" t="s">
        <v>544</v>
      </c>
      <c r="D63">
        <f>SEARCH(",",B63)</f>
        <v>2</v>
      </c>
      <c r="E63">
        <f>SEARCH(",",B63,D63+1)</f>
        <v>4</v>
      </c>
      <c r="F63">
        <f>SEARCH(",",B63,E63+1)</f>
        <v>7</v>
      </c>
      <c r="G63">
        <f>VALUE(MID(B63,1,D63-1))</f>
        <v>1</v>
      </c>
      <c r="H63">
        <f>VALUE(MID(B63,D63+1,E63-D63-1))</f>
        <v>1</v>
      </c>
      <c r="I63">
        <f>VALUE(MID(B63,E63+1,F63-E63-1))</f>
        <v>22</v>
      </c>
      <c r="J63">
        <f>VALUE(MID(B63,F63+1,4))</f>
        <v>22</v>
      </c>
    </row>
    <row r="64" spans="1:10" hidden="1" x14ac:dyDescent="0.25">
      <c r="A64" t="s">
        <v>62</v>
      </c>
      <c r="B64" t="s">
        <v>577</v>
      </c>
      <c r="C64" t="str">
        <f>IF(RIGHT(B64,5)="22,22","VIC20","")</f>
        <v/>
      </c>
      <c r="D64">
        <f>SEARCH(",",B64)</f>
        <v>2</v>
      </c>
      <c r="E64">
        <f>SEARCH(",",B64,D64+1)</f>
        <v>4</v>
      </c>
      <c r="F64">
        <f>SEARCH(",",B64,E64+1)</f>
        <v>7</v>
      </c>
      <c r="G64">
        <f>VALUE(MID(B64,1,D64-1))</f>
        <v>1</v>
      </c>
      <c r="H64">
        <f>VALUE(MID(B64,D64+1,E64-D64-1))</f>
        <v>1</v>
      </c>
      <c r="I64">
        <f>VALUE(MID(B64,E64+1,F64-E64-1))</f>
        <v>23</v>
      </c>
      <c r="J64">
        <f>VALUE(MID(B64,F64+1,4))</f>
        <v>22</v>
      </c>
    </row>
    <row r="65" spans="1:10" x14ac:dyDescent="0.25">
      <c r="A65" t="s">
        <v>333</v>
      </c>
      <c r="B65" t="s">
        <v>552</v>
      </c>
      <c r="C65" t="s">
        <v>544</v>
      </c>
      <c r="D65">
        <f>SEARCH(",",B65)</f>
        <v>2</v>
      </c>
      <c r="E65">
        <f>SEARCH(",",B65,D65+1)</f>
        <v>4</v>
      </c>
      <c r="F65">
        <f>SEARCH(",",B65,E65+1)</f>
        <v>7</v>
      </c>
      <c r="G65">
        <f>VALUE(MID(B65,1,D65-1))</f>
        <v>1</v>
      </c>
      <c r="H65">
        <f>VALUE(MID(B65,D65+1,E65-D65-1))</f>
        <v>1</v>
      </c>
      <c r="I65">
        <f>VALUE(MID(B65,E65+1,F65-E65-1))</f>
        <v>22</v>
      </c>
      <c r="J65">
        <f>VALUE(MID(B65,F65+1,4))</f>
        <v>22</v>
      </c>
    </row>
    <row r="66" spans="1:10" hidden="1" x14ac:dyDescent="0.25">
      <c r="A66" t="s">
        <v>64</v>
      </c>
      <c r="B66" t="s">
        <v>578</v>
      </c>
      <c r="C66" t="str">
        <f>IF(RIGHT(B66,5)="22,22","VIC20","")</f>
        <v/>
      </c>
      <c r="D66">
        <f>SEARCH(",",B66)</f>
        <v>2</v>
      </c>
      <c r="E66">
        <f>SEARCH(",",B66,D66+1)</f>
        <v>4</v>
      </c>
      <c r="F66">
        <f>SEARCH(",",B66,E66+1)</f>
        <v>8</v>
      </c>
      <c r="G66">
        <f>VALUE(MID(B66,1,D66-1))</f>
        <v>0</v>
      </c>
      <c r="H66">
        <f>VALUE(MID(B66,D66+1,E66-D66-1))</f>
        <v>0</v>
      </c>
      <c r="I66">
        <f>VALUE(MID(B66,E66+1,F66-E66-1))</f>
        <v>255</v>
      </c>
      <c r="J66">
        <f>VALUE(MID(B66,F66+1,4))</f>
        <v>0</v>
      </c>
    </row>
    <row r="67" spans="1:10" hidden="1" x14ac:dyDescent="0.25">
      <c r="A67" t="s">
        <v>65</v>
      </c>
      <c r="B67" t="s">
        <v>568</v>
      </c>
      <c r="C67" t="str">
        <f>IF(RIGHT(B67,5)="22,22","VIC20","")</f>
        <v/>
      </c>
      <c r="D67">
        <f>SEARCH(",",B67)</f>
        <v>2</v>
      </c>
      <c r="E67">
        <f>SEARCH(",",B67,D67+1)</f>
        <v>4</v>
      </c>
      <c r="F67">
        <f>SEARCH(",",B67,E67+1)</f>
        <v>7</v>
      </c>
      <c r="G67">
        <f>VALUE(MID(B67,1,D67-1))</f>
        <v>1</v>
      </c>
      <c r="H67">
        <f>VALUE(MID(B67,D67+1,E67-D67-1))</f>
        <v>1</v>
      </c>
      <c r="I67">
        <f>VALUE(MID(B67,E67+1,F67-E67-1))</f>
        <v>21</v>
      </c>
      <c r="J67">
        <f>VALUE(MID(B67,F67+1,4))</f>
        <v>25</v>
      </c>
    </row>
    <row r="68" spans="1:10" hidden="1" x14ac:dyDescent="0.25">
      <c r="A68" t="s">
        <v>66</v>
      </c>
      <c r="B68" t="s">
        <v>579</v>
      </c>
      <c r="C68" t="str">
        <f>IF(RIGHT(B68,5)="22,22","VIC20","")</f>
        <v/>
      </c>
      <c r="D68">
        <f>SEARCH(",",B68)</f>
        <v>2</v>
      </c>
      <c r="E68">
        <f>SEARCH(",",B68,D68+1)</f>
        <v>4</v>
      </c>
      <c r="F68">
        <f>SEARCH(",",B68,E68+1)</f>
        <v>7</v>
      </c>
      <c r="G68">
        <f>VALUE(MID(B68,1,D68-1))</f>
        <v>0</v>
      </c>
      <c r="H68">
        <f>VALUE(MID(B68,D68+1,E68-D68-1))</f>
        <v>0</v>
      </c>
      <c r="I68">
        <f>VALUE(MID(B68,E68+1,F68-E68-1))</f>
        <v>18</v>
      </c>
      <c r="J68">
        <f>VALUE(MID(B68,F68+1,4))</f>
        <v>32</v>
      </c>
    </row>
    <row r="69" spans="1:10" hidden="1" x14ac:dyDescent="0.25">
      <c r="A69" t="s">
        <v>67</v>
      </c>
      <c r="B69" t="s">
        <v>553</v>
      </c>
      <c r="C69" t="str">
        <f>IF(RIGHT(B69,5)="22,22","VIC20","")</f>
        <v/>
      </c>
      <c r="D69">
        <f>SEARCH(",",B69)</f>
        <v>2</v>
      </c>
      <c r="E69">
        <f>SEARCH(",",B69,D69+1)</f>
        <v>4</v>
      </c>
      <c r="F69">
        <f>SEARCH(",",B69,E69+1)</f>
        <v>7</v>
      </c>
      <c r="G69">
        <f>VALUE(MID(B69,1,D69-1))</f>
        <v>1</v>
      </c>
      <c r="H69">
        <f>VALUE(MID(B69,D69+1,E69-D69-1))</f>
        <v>1</v>
      </c>
      <c r="I69">
        <f>VALUE(MID(B69,E69+1,F69-E69-1))</f>
        <v>19</v>
      </c>
      <c r="J69">
        <f>VALUE(MID(B69,F69+1,4))</f>
        <v>30</v>
      </c>
    </row>
    <row r="70" spans="1:10" hidden="1" x14ac:dyDescent="0.25">
      <c r="A70" t="s">
        <v>68</v>
      </c>
      <c r="B70" t="s">
        <v>547</v>
      </c>
      <c r="C70" t="str">
        <f>IF(RIGHT(B70,5)="22,22","VIC20","")</f>
        <v/>
      </c>
      <c r="D70">
        <f>SEARCH(",",B70)</f>
        <v>2</v>
      </c>
      <c r="E70">
        <f>SEARCH(",",B70,D70+1)</f>
        <v>4</v>
      </c>
      <c r="F70">
        <f>SEARCH(",",B70,E70+1)</f>
        <v>7</v>
      </c>
      <c r="G70">
        <f>VALUE(MID(B70,1,D70-1))</f>
        <v>1</v>
      </c>
      <c r="H70">
        <f>VALUE(MID(B70,D70+1,E70-D70-1))</f>
        <v>1</v>
      </c>
      <c r="I70">
        <f>VALUE(MID(B70,E70+1,F70-E70-1))</f>
        <v>18</v>
      </c>
      <c r="J70">
        <f>VALUE(MID(B70,F70+1,4))</f>
        <v>30</v>
      </c>
    </row>
    <row r="71" spans="1:10" hidden="1" x14ac:dyDescent="0.25">
      <c r="A71" t="s">
        <v>69</v>
      </c>
      <c r="B71" t="s">
        <v>547</v>
      </c>
      <c r="C71" t="str">
        <f>IF(RIGHT(B71,5)="22,22","VIC20","")</f>
        <v/>
      </c>
      <c r="D71">
        <f>SEARCH(",",B71)</f>
        <v>2</v>
      </c>
      <c r="E71">
        <f>SEARCH(",",B71,D71+1)</f>
        <v>4</v>
      </c>
      <c r="F71">
        <f>SEARCH(",",B71,E71+1)</f>
        <v>7</v>
      </c>
      <c r="G71">
        <f>VALUE(MID(B71,1,D71-1))</f>
        <v>1</v>
      </c>
      <c r="H71">
        <f>VALUE(MID(B71,D71+1,E71-D71-1))</f>
        <v>1</v>
      </c>
      <c r="I71">
        <f>VALUE(MID(B71,E71+1,F71-E71-1))</f>
        <v>18</v>
      </c>
      <c r="J71">
        <f>VALUE(MID(B71,F71+1,4))</f>
        <v>30</v>
      </c>
    </row>
    <row r="72" spans="1:10" hidden="1" x14ac:dyDescent="0.25">
      <c r="A72" t="s">
        <v>70</v>
      </c>
      <c r="B72" t="s">
        <v>547</v>
      </c>
      <c r="C72" t="str">
        <f>IF(RIGHT(B72,5)="22,22","VIC20","")</f>
        <v/>
      </c>
      <c r="D72">
        <f>SEARCH(",",B72)</f>
        <v>2</v>
      </c>
      <c r="E72">
        <f>SEARCH(",",B72,D72+1)</f>
        <v>4</v>
      </c>
      <c r="F72">
        <f>SEARCH(",",B72,E72+1)</f>
        <v>7</v>
      </c>
      <c r="G72">
        <f>VALUE(MID(B72,1,D72-1))</f>
        <v>1</v>
      </c>
      <c r="H72">
        <f>VALUE(MID(B72,D72+1,E72-D72-1))</f>
        <v>1</v>
      </c>
      <c r="I72">
        <f>VALUE(MID(B72,E72+1,F72-E72-1))</f>
        <v>18</v>
      </c>
      <c r="J72">
        <f>VALUE(MID(B72,F72+1,4))</f>
        <v>30</v>
      </c>
    </row>
    <row r="73" spans="1:10" hidden="1" x14ac:dyDescent="0.25">
      <c r="A73" t="s">
        <v>71</v>
      </c>
      <c r="B73" t="s">
        <v>554</v>
      </c>
      <c r="C73" t="str">
        <f>IF(RIGHT(B73,5)="22,22","VIC20","")</f>
        <v/>
      </c>
      <c r="D73">
        <f>SEARCH(",",B73)</f>
        <v>2</v>
      </c>
      <c r="E73">
        <f>SEARCH(",",B73,D73+1)</f>
        <v>4</v>
      </c>
      <c r="F73">
        <f>SEARCH(",",B73,E73+1)</f>
        <v>7</v>
      </c>
      <c r="G73">
        <f>VALUE(MID(B73,1,D73-1))</f>
        <v>1</v>
      </c>
      <c r="H73">
        <f>VALUE(MID(B73,D73+1,E73-D73-1))</f>
        <v>1</v>
      </c>
      <c r="I73">
        <f>VALUE(MID(B73,E73+1,F73-E73-1))</f>
        <v>20</v>
      </c>
      <c r="J73">
        <f>VALUE(MID(B73,F73+1,4))</f>
        <v>30</v>
      </c>
    </row>
    <row r="74" spans="1:10" hidden="1" x14ac:dyDescent="0.25">
      <c r="A74" t="s">
        <v>72</v>
      </c>
      <c r="B74" t="s">
        <v>548</v>
      </c>
      <c r="C74" t="str">
        <f>IF(RIGHT(B74,5)="22,22","VIC20","")</f>
        <v/>
      </c>
      <c r="D74">
        <f>SEARCH(",",B74)</f>
        <v>2</v>
      </c>
      <c r="E74">
        <f>SEARCH(",",B74,D74+1)</f>
        <v>4</v>
      </c>
      <c r="F74">
        <f>SEARCH(",",B74,E74+1)</f>
        <v>7</v>
      </c>
      <c r="G74">
        <f>VALUE(MID(B74,1,D74-1))</f>
        <v>1</v>
      </c>
      <c r="H74">
        <f>VALUE(MID(B74,D74+1,E74-D74-1))</f>
        <v>1</v>
      </c>
      <c r="I74">
        <f>VALUE(MID(B74,E74+1,F74-E74-1))</f>
        <v>22</v>
      </c>
      <c r="J74">
        <f>VALUE(MID(B74,F74+1,4))</f>
        <v>30</v>
      </c>
    </row>
    <row r="75" spans="1:10" hidden="1" x14ac:dyDescent="0.25">
      <c r="A75" t="s">
        <v>73</v>
      </c>
      <c r="B75" t="s">
        <v>569</v>
      </c>
      <c r="C75" t="str">
        <f>IF(RIGHT(B75,5)="22,22","VIC20","")</f>
        <v/>
      </c>
      <c r="D75">
        <f>SEARCH(",",B75)</f>
        <v>2</v>
      </c>
      <c r="E75">
        <f>SEARCH(",",B75,D75+1)</f>
        <v>4</v>
      </c>
      <c r="F75">
        <f>SEARCH(",",B75,E75+1)</f>
        <v>7</v>
      </c>
      <c r="G75">
        <f>VALUE(MID(B75,1,D75-1))</f>
        <v>4</v>
      </c>
      <c r="H75">
        <f>VALUE(MID(B75,D75+1,E75-D75-1))</f>
        <v>0</v>
      </c>
      <c r="I75">
        <f>VALUE(MID(B75,E75+1,F75-E75-1))</f>
        <v>20</v>
      </c>
      <c r="J75">
        <f>VALUE(MID(B75,F75+1,4))</f>
        <v>32</v>
      </c>
    </row>
    <row r="76" spans="1:10" x14ac:dyDescent="0.25">
      <c r="A76" t="s">
        <v>334</v>
      </c>
      <c r="B76" t="s">
        <v>552</v>
      </c>
      <c r="C76" t="s">
        <v>544</v>
      </c>
      <c r="D76">
        <f>SEARCH(",",B76)</f>
        <v>2</v>
      </c>
      <c r="E76">
        <f>SEARCH(",",B76,D76+1)</f>
        <v>4</v>
      </c>
      <c r="F76">
        <f>SEARCH(",",B76,E76+1)</f>
        <v>7</v>
      </c>
      <c r="G76">
        <f>VALUE(MID(B76,1,D76-1))</f>
        <v>1</v>
      </c>
      <c r="H76">
        <f>VALUE(MID(B76,D76+1,E76-D76-1))</f>
        <v>1</v>
      </c>
      <c r="I76">
        <f>VALUE(MID(B76,E76+1,F76-E76-1))</f>
        <v>22</v>
      </c>
      <c r="J76">
        <f>VALUE(MID(B76,F76+1,4))</f>
        <v>22</v>
      </c>
    </row>
    <row r="77" spans="1:10" x14ac:dyDescent="0.25">
      <c r="A77" t="s">
        <v>278</v>
      </c>
      <c r="B77" t="s">
        <v>552</v>
      </c>
      <c r="C77" t="s">
        <v>544</v>
      </c>
      <c r="D77">
        <f>SEARCH(",",B77)</f>
        <v>2</v>
      </c>
      <c r="E77">
        <f>SEARCH(",",B77,D77+1)</f>
        <v>4</v>
      </c>
      <c r="F77">
        <f>SEARCH(",",B77,E77+1)</f>
        <v>7</v>
      </c>
      <c r="G77">
        <f>VALUE(MID(B77,1,D77-1))</f>
        <v>1</v>
      </c>
      <c r="H77">
        <f>VALUE(MID(B77,D77+1,E77-D77-1))</f>
        <v>1</v>
      </c>
      <c r="I77">
        <f>VALUE(MID(B77,E77+1,F77-E77-1))</f>
        <v>22</v>
      </c>
      <c r="J77">
        <f>VALUE(MID(B77,F77+1,4))</f>
        <v>22</v>
      </c>
    </row>
    <row r="78" spans="1:10" x14ac:dyDescent="0.25">
      <c r="A78" t="s">
        <v>48</v>
      </c>
      <c r="B78" t="s">
        <v>552</v>
      </c>
      <c r="C78" t="s">
        <v>544</v>
      </c>
      <c r="D78">
        <f>SEARCH(",",B78)</f>
        <v>2</v>
      </c>
      <c r="E78">
        <f>SEARCH(",",B78,D78+1)</f>
        <v>4</v>
      </c>
      <c r="F78">
        <f>SEARCH(",",B78,E78+1)</f>
        <v>7</v>
      </c>
      <c r="G78">
        <f>VALUE(MID(B78,1,D78-1))</f>
        <v>1</v>
      </c>
      <c r="H78">
        <f>VALUE(MID(B78,D78+1,E78-D78-1))</f>
        <v>1</v>
      </c>
      <c r="I78">
        <f>VALUE(MID(B78,E78+1,F78-E78-1))</f>
        <v>22</v>
      </c>
      <c r="J78">
        <f>VALUE(MID(B78,F78+1,4))</f>
        <v>22</v>
      </c>
    </row>
    <row r="79" spans="1:10" hidden="1" x14ac:dyDescent="0.25">
      <c r="A79" t="s">
        <v>77</v>
      </c>
      <c r="B79" t="s">
        <v>546</v>
      </c>
      <c r="C79" t="str">
        <f>IF(RIGHT(B79,5)="22,22","VIC20","")</f>
        <v/>
      </c>
      <c r="D79">
        <f>SEARCH(",",B79)</f>
        <v>2</v>
      </c>
      <c r="E79">
        <f>SEARCH(",",B79,D79+1)</f>
        <v>4</v>
      </c>
      <c r="F79">
        <f>SEARCH(",",B79,E79+1)</f>
        <v>7</v>
      </c>
      <c r="G79">
        <f>VALUE(MID(B79,1,D79-1))</f>
        <v>1</v>
      </c>
      <c r="H79">
        <f>VALUE(MID(B79,D79+1,E79-D79-1))</f>
        <v>0</v>
      </c>
      <c r="I79">
        <f>VALUE(MID(B79,E79+1,F79-E79-1))</f>
        <v>23</v>
      </c>
      <c r="J79">
        <f>VALUE(MID(B79,F79+1,4))</f>
        <v>32</v>
      </c>
    </row>
    <row r="80" spans="1:10" x14ac:dyDescent="0.25">
      <c r="A80" t="s">
        <v>50</v>
      </c>
      <c r="B80" t="s">
        <v>552</v>
      </c>
      <c r="C80" t="s">
        <v>544</v>
      </c>
      <c r="D80">
        <f>SEARCH(",",B80)</f>
        <v>2</v>
      </c>
      <c r="E80">
        <f>SEARCH(",",B80,D80+1)</f>
        <v>4</v>
      </c>
      <c r="F80">
        <f>SEARCH(",",B80,E80+1)</f>
        <v>7</v>
      </c>
      <c r="G80">
        <f>VALUE(MID(B80,1,D80-1))</f>
        <v>1</v>
      </c>
      <c r="H80">
        <f>VALUE(MID(B80,D80+1,E80-D80-1))</f>
        <v>1</v>
      </c>
      <c r="I80">
        <f>VALUE(MID(B80,E80+1,F80-E80-1))</f>
        <v>22</v>
      </c>
      <c r="J80">
        <f>VALUE(MID(B80,F80+1,4))</f>
        <v>22</v>
      </c>
    </row>
    <row r="81" spans="1:10" x14ac:dyDescent="0.25">
      <c r="A81" t="s">
        <v>385</v>
      </c>
      <c r="B81" t="s">
        <v>552</v>
      </c>
      <c r="C81" t="s">
        <v>544</v>
      </c>
      <c r="D81">
        <f>SEARCH(",",B81)</f>
        <v>2</v>
      </c>
      <c r="E81">
        <f>SEARCH(",",B81,D81+1)</f>
        <v>4</v>
      </c>
      <c r="F81">
        <f>SEARCH(",",B81,E81+1)</f>
        <v>7</v>
      </c>
      <c r="G81">
        <f>VALUE(MID(B81,1,D81-1))</f>
        <v>1</v>
      </c>
      <c r="H81">
        <f>VALUE(MID(B81,D81+1,E81-D81-1))</f>
        <v>1</v>
      </c>
      <c r="I81">
        <f>VALUE(MID(B81,E81+1,F81-E81-1))</f>
        <v>22</v>
      </c>
      <c r="J81">
        <f>VALUE(MID(B81,F81+1,4))</f>
        <v>22</v>
      </c>
    </row>
    <row r="82" spans="1:10" x14ac:dyDescent="0.25">
      <c r="A82" t="s">
        <v>5</v>
      </c>
      <c r="B82" t="s">
        <v>549</v>
      </c>
      <c r="C82" t="s">
        <v>544</v>
      </c>
      <c r="D82">
        <f>SEARCH(",",B82)</f>
        <v>2</v>
      </c>
      <c r="E82">
        <f>SEARCH(",",B82,D82+1)</f>
        <v>4</v>
      </c>
      <c r="F82">
        <f>SEARCH(",",B82,E82+1)</f>
        <v>7</v>
      </c>
      <c r="G82">
        <f>VALUE(MID(B82,1,D82-1))</f>
        <v>1</v>
      </c>
      <c r="H82">
        <f>VALUE(MID(B82,D82+1,E82-D82-1))</f>
        <v>9</v>
      </c>
      <c r="I82">
        <f>VALUE(MID(B82,E82+1,F82-E82-1))</f>
        <v>22</v>
      </c>
      <c r="J82">
        <f>VALUE(MID(B82,F82+1,4))</f>
        <v>22</v>
      </c>
    </row>
    <row r="83" spans="1:10" hidden="1" x14ac:dyDescent="0.25">
      <c r="A83" t="s">
        <v>81</v>
      </c>
      <c r="B83" t="s">
        <v>581</v>
      </c>
      <c r="C83" t="str">
        <f>IF(RIGHT(B83,5)="22,22","VIC20","")</f>
        <v/>
      </c>
      <c r="D83">
        <f>SEARCH(",",B83)</f>
        <v>2</v>
      </c>
      <c r="E83">
        <f>SEARCH(",",B83,D83+1)</f>
        <v>4</v>
      </c>
      <c r="F83">
        <f>SEARCH(",",B83,E83+1)</f>
        <v>7</v>
      </c>
      <c r="G83">
        <f>VALUE(MID(B83,1,D83-1))</f>
        <v>0</v>
      </c>
      <c r="H83">
        <f>VALUE(MID(B83,D83+1,E83-D83-1))</f>
        <v>0</v>
      </c>
      <c r="I83">
        <f>VALUE(MID(B83,E83+1,F83-E83-1))</f>
        <v>21</v>
      </c>
      <c r="J83">
        <f>VALUE(MID(B83,F83+1,4))</f>
        <v>32</v>
      </c>
    </row>
    <row r="84" spans="1:10" hidden="1" x14ac:dyDescent="0.25">
      <c r="A84" t="s">
        <v>82</v>
      </c>
      <c r="B84" t="s">
        <v>582</v>
      </c>
      <c r="C84" t="str">
        <f>IF(RIGHT(B84,5)="22,22","VIC20","")</f>
        <v/>
      </c>
      <c r="D84">
        <f>SEARCH(",",B84)</f>
        <v>2</v>
      </c>
      <c r="E84">
        <f>SEARCH(",",B84,D84+1)</f>
        <v>4</v>
      </c>
      <c r="F84">
        <f>SEARCH(",",B84,E84+1)</f>
        <v>7</v>
      </c>
      <c r="G84">
        <f>VALUE(MID(B84,1,D84-1))</f>
        <v>0</v>
      </c>
      <c r="H84">
        <f>VALUE(MID(B84,D84+1,E84-D84-1))</f>
        <v>0</v>
      </c>
      <c r="I84">
        <f>VALUE(MID(B84,E84+1,F84-E84-1))</f>
        <v>20</v>
      </c>
      <c r="J84">
        <f>VALUE(MID(B84,F84+1,4))</f>
        <v>32</v>
      </c>
    </row>
    <row r="85" spans="1:10" hidden="1" x14ac:dyDescent="0.25">
      <c r="A85" t="s">
        <v>83</v>
      </c>
      <c r="B85" t="s">
        <v>553</v>
      </c>
      <c r="C85" t="str">
        <f>IF(RIGHT(B85,5)="22,22","VIC20","")</f>
        <v/>
      </c>
      <c r="D85">
        <f>SEARCH(",",B85)</f>
        <v>2</v>
      </c>
      <c r="E85">
        <f>SEARCH(",",B85,D85+1)</f>
        <v>4</v>
      </c>
      <c r="F85">
        <f>SEARCH(",",B85,E85+1)</f>
        <v>7</v>
      </c>
      <c r="G85">
        <f>VALUE(MID(B85,1,D85-1))</f>
        <v>1</v>
      </c>
      <c r="H85">
        <f>VALUE(MID(B85,D85+1,E85-D85-1))</f>
        <v>1</v>
      </c>
      <c r="I85">
        <f>VALUE(MID(B85,E85+1,F85-E85-1))</f>
        <v>19</v>
      </c>
      <c r="J85">
        <f>VALUE(MID(B85,F85+1,4))</f>
        <v>30</v>
      </c>
    </row>
    <row r="86" spans="1:10" hidden="1" x14ac:dyDescent="0.25">
      <c r="A86" t="s">
        <v>84</v>
      </c>
      <c r="B86" t="s">
        <v>548</v>
      </c>
      <c r="C86" t="str">
        <f>IF(RIGHT(B86,5)="22,22","VIC20","")</f>
        <v/>
      </c>
      <c r="D86">
        <f>SEARCH(",",B86)</f>
        <v>2</v>
      </c>
      <c r="E86">
        <f>SEARCH(",",B86,D86+1)</f>
        <v>4</v>
      </c>
      <c r="F86">
        <f>SEARCH(",",B86,E86+1)</f>
        <v>7</v>
      </c>
      <c r="G86">
        <f>VALUE(MID(B86,1,D86-1))</f>
        <v>1</v>
      </c>
      <c r="H86">
        <f>VALUE(MID(B86,D86+1,E86-D86-1))</f>
        <v>1</v>
      </c>
      <c r="I86">
        <f>VALUE(MID(B86,E86+1,F86-E86-1))</f>
        <v>22</v>
      </c>
      <c r="J86">
        <f>VALUE(MID(B86,F86+1,4))</f>
        <v>30</v>
      </c>
    </row>
    <row r="87" spans="1:10" hidden="1" x14ac:dyDescent="0.25">
      <c r="A87" t="s">
        <v>85</v>
      </c>
      <c r="B87" t="s">
        <v>583</v>
      </c>
      <c r="C87" t="str">
        <f>IF(RIGHT(B87,5)="22,22","VIC20","")</f>
        <v/>
      </c>
      <c r="D87">
        <f>SEARCH(",",B87)</f>
        <v>2</v>
      </c>
      <c r="E87">
        <f>SEARCH(",",B87,D87+1)</f>
        <v>4</v>
      </c>
      <c r="F87">
        <f>SEARCH(",",B87,E87+1)</f>
        <v>7</v>
      </c>
      <c r="G87">
        <f>VALUE(MID(B87,1,D87-1))</f>
        <v>4</v>
      </c>
      <c r="H87">
        <f>VALUE(MID(B87,D87+1,E87-D87-1))</f>
        <v>1</v>
      </c>
      <c r="I87">
        <f>VALUE(MID(B87,E87+1,F87-E87-1))</f>
        <v>17</v>
      </c>
      <c r="J87">
        <f>VALUE(MID(B87,F87+1,4))</f>
        <v>30</v>
      </c>
    </row>
    <row r="88" spans="1:10" x14ac:dyDescent="0.25">
      <c r="A88" t="s">
        <v>295</v>
      </c>
      <c r="B88" t="s">
        <v>549</v>
      </c>
      <c r="C88" t="s">
        <v>544</v>
      </c>
      <c r="D88">
        <f>SEARCH(",",B88)</f>
        <v>2</v>
      </c>
      <c r="E88">
        <f>SEARCH(",",B88,D88+1)</f>
        <v>4</v>
      </c>
      <c r="F88">
        <f>SEARCH(",",B88,E88+1)</f>
        <v>7</v>
      </c>
      <c r="G88">
        <f>VALUE(MID(B88,1,D88-1))</f>
        <v>1</v>
      </c>
      <c r="H88">
        <f>VALUE(MID(B88,D88+1,E88-D88-1))</f>
        <v>9</v>
      </c>
      <c r="I88">
        <f>VALUE(MID(B88,E88+1,F88-E88-1))</f>
        <v>22</v>
      </c>
      <c r="J88">
        <f>VALUE(MID(B88,F88+1,4))</f>
        <v>22</v>
      </c>
    </row>
    <row r="89" spans="1:10" hidden="1" x14ac:dyDescent="0.25">
      <c r="A89" t="s">
        <v>87</v>
      </c>
      <c r="B89" t="s">
        <v>584</v>
      </c>
      <c r="C89" t="str">
        <f>IF(RIGHT(B89,5)="22,22","VIC20","")</f>
        <v/>
      </c>
      <c r="D89">
        <f>SEARCH(",",B89)</f>
        <v>2</v>
      </c>
      <c r="E89">
        <f>SEARCH(",",B89,D89+1)</f>
        <v>4</v>
      </c>
      <c r="F89">
        <f>SEARCH(",",B89,E89+1)</f>
        <v>7</v>
      </c>
      <c r="G89">
        <f>VALUE(MID(B89,1,D89-1))</f>
        <v>1</v>
      </c>
      <c r="H89">
        <f>VALUE(MID(B89,D89+1,E89-D89-1))</f>
        <v>2</v>
      </c>
      <c r="I89">
        <f>VALUE(MID(B89,E89+1,F89-E89-1))</f>
        <v>21</v>
      </c>
      <c r="J89">
        <f>VALUE(MID(B89,F89+1,4))</f>
        <v>28</v>
      </c>
    </row>
    <row r="90" spans="1:10" x14ac:dyDescent="0.25">
      <c r="A90" t="s">
        <v>265</v>
      </c>
      <c r="B90" t="s">
        <v>549</v>
      </c>
      <c r="C90" t="s">
        <v>544</v>
      </c>
      <c r="D90">
        <f>SEARCH(",",B90)</f>
        <v>2</v>
      </c>
      <c r="E90">
        <f>SEARCH(",",B90,D90+1)</f>
        <v>4</v>
      </c>
      <c r="F90">
        <f>SEARCH(",",B90,E90+1)</f>
        <v>7</v>
      </c>
      <c r="G90">
        <f>VALUE(MID(B90,1,D90-1))</f>
        <v>1</v>
      </c>
      <c r="H90">
        <f>VALUE(MID(B90,D90+1,E90-D90-1))</f>
        <v>9</v>
      </c>
      <c r="I90">
        <f>VALUE(MID(B90,E90+1,F90-E90-1))</f>
        <v>22</v>
      </c>
      <c r="J90">
        <f>VALUE(MID(B90,F90+1,4))</f>
        <v>22</v>
      </c>
    </row>
    <row r="91" spans="1:10" x14ac:dyDescent="0.25">
      <c r="A91" t="s">
        <v>60</v>
      </c>
      <c r="B91" t="s">
        <v>552</v>
      </c>
      <c r="C91" t="s">
        <v>544</v>
      </c>
      <c r="D91">
        <f>SEARCH(",",B91)</f>
        <v>2</v>
      </c>
      <c r="E91">
        <f>SEARCH(",",B91,D91+1)</f>
        <v>4</v>
      </c>
      <c r="F91">
        <f>SEARCH(",",B91,E91+1)</f>
        <v>7</v>
      </c>
      <c r="G91">
        <f>VALUE(MID(B91,1,D91-1))</f>
        <v>1</v>
      </c>
      <c r="H91">
        <f>VALUE(MID(B91,D91+1,E91-D91-1))</f>
        <v>1</v>
      </c>
      <c r="I91">
        <f>VALUE(MID(B91,E91+1,F91-E91-1))</f>
        <v>22</v>
      </c>
      <c r="J91">
        <f>VALUE(MID(B91,F91+1,4))</f>
        <v>22</v>
      </c>
    </row>
    <row r="92" spans="1:10" hidden="1" x14ac:dyDescent="0.25">
      <c r="A92" t="s">
        <v>90</v>
      </c>
      <c r="B92" t="s">
        <v>586</v>
      </c>
      <c r="C92" t="str">
        <f>IF(RIGHT(B92,5)="22,22","VIC20","")</f>
        <v/>
      </c>
      <c r="D92">
        <f>SEARCH(",",B92)</f>
        <v>2</v>
      </c>
      <c r="E92">
        <f>SEARCH(",",B92,D92+1)</f>
        <v>4</v>
      </c>
      <c r="F92">
        <f>SEARCH(",",B92,E92+1)</f>
        <v>7</v>
      </c>
      <c r="G92">
        <f>VALUE(MID(B92,1,D92-1))</f>
        <v>1</v>
      </c>
      <c r="H92">
        <f>VALUE(MID(B92,D92+1,E92-D92-1))</f>
        <v>1</v>
      </c>
      <c r="I92">
        <f>VALUE(MID(B92,E92+1,F92-E92-1))</f>
        <v>22</v>
      </c>
      <c r="J92">
        <f>VALUE(MID(B92,F92+1,4))</f>
        <v>28</v>
      </c>
    </row>
    <row r="93" spans="1:10" x14ac:dyDescent="0.25">
      <c r="A93" t="s">
        <v>61</v>
      </c>
      <c r="B93" t="s">
        <v>576</v>
      </c>
      <c r="C93" t="s">
        <v>544</v>
      </c>
      <c r="D93">
        <f>SEARCH(",",B93)</f>
        <v>2</v>
      </c>
      <c r="E93">
        <f>SEARCH(",",B93,D93+1)</f>
        <v>4</v>
      </c>
      <c r="F93">
        <f>SEARCH(",",B93,E93+1)</f>
        <v>7</v>
      </c>
      <c r="G93">
        <f>VALUE(MID(B93,1,D93-1))</f>
        <v>3</v>
      </c>
      <c r="H93">
        <f>VALUE(MID(B93,D93+1,E93-D93-1))</f>
        <v>5</v>
      </c>
      <c r="I93">
        <f>VALUE(MID(B93,E93+1,F93-E93-1))</f>
        <v>19</v>
      </c>
      <c r="J93">
        <f>VALUE(MID(B93,F93+1,4))</f>
        <v>22</v>
      </c>
    </row>
    <row r="94" spans="1:10" x14ac:dyDescent="0.25">
      <c r="A94" t="s">
        <v>63</v>
      </c>
      <c r="B94" t="s">
        <v>576</v>
      </c>
      <c r="C94" t="s">
        <v>544</v>
      </c>
      <c r="D94">
        <f>SEARCH(",",B94)</f>
        <v>2</v>
      </c>
      <c r="E94">
        <f>SEARCH(",",B94,D94+1)</f>
        <v>4</v>
      </c>
      <c r="F94">
        <f>SEARCH(",",B94,E94+1)</f>
        <v>7</v>
      </c>
      <c r="G94">
        <f>VALUE(MID(B94,1,D94-1))</f>
        <v>3</v>
      </c>
      <c r="H94">
        <f>VALUE(MID(B94,D94+1,E94-D94-1))</f>
        <v>5</v>
      </c>
      <c r="I94">
        <f>VALUE(MID(B94,E94+1,F94-E94-1))</f>
        <v>19</v>
      </c>
      <c r="J94">
        <f>VALUE(MID(B94,F94+1,4))</f>
        <v>22</v>
      </c>
    </row>
    <row r="95" spans="1:10" hidden="1" x14ac:dyDescent="0.25">
      <c r="A95" t="s">
        <v>93</v>
      </c>
      <c r="B95" t="s">
        <v>587</v>
      </c>
      <c r="C95" t="str">
        <f>IF(RIGHT(B95,5)="22,22","VIC20","")</f>
        <v/>
      </c>
      <c r="D95">
        <f>SEARCH(",",B95)</f>
        <v>2</v>
      </c>
      <c r="E95">
        <f>SEARCH(",",B95,D95+1)</f>
        <v>4</v>
      </c>
      <c r="F95">
        <f>SEARCH(",",B95,E95+1)</f>
        <v>7</v>
      </c>
      <c r="G95">
        <f>VALUE(MID(B95,1,D95-1))</f>
        <v>6</v>
      </c>
      <c r="H95">
        <f>VALUE(MID(B95,D95+1,E95-D95-1))</f>
        <v>1</v>
      </c>
      <c r="I95">
        <f>VALUE(MID(B95,E95+1,F95-E95-1))</f>
        <v>17</v>
      </c>
      <c r="J95">
        <f>VALUE(MID(B95,F95+1,4))</f>
        <v>30</v>
      </c>
    </row>
    <row r="96" spans="1:10" hidden="1" x14ac:dyDescent="0.25">
      <c r="A96" t="s">
        <v>94</v>
      </c>
      <c r="B96" t="s">
        <v>553</v>
      </c>
      <c r="C96" t="str">
        <f>IF(RIGHT(B96,5)="22,22","VIC20","")</f>
        <v/>
      </c>
      <c r="D96">
        <f>SEARCH(",",B96)</f>
        <v>2</v>
      </c>
      <c r="E96">
        <f>SEARCH(",",B96,D96+1)</f>
        <v>4</v>
      </c>
      <c r="F96">
        <f>SEARCH(",",B96,E96+1)</f>
        <v>7</v>
      </c>
      <c r="G96">
        <f>VALUE(MID(B96,1,D96-1))</f>
        <v>1</v>
      </c>
      <c r="H96">
        <f>VALUE(MID(B96,D96+1,E96-D96-1))</f>
        <v>1</v>
      </c>
      <c r="I96">
        <f>VALUE(MID(B96,E96+1,F96-E96-1))</f>
        <v>19</v>
      </c>
      <c r="J96">
        <f>VALUE(MID(B96,F96+1,4))</f>
        <v>30</v>
      </c>
    </row>
    <row r="97" spans="1:10" hidden="1" x14ac:dyDescent="0.25">
      <c r="A97" t="s">
        <v>95</v>
      </c>
      <c r="B97" t="s">
        <v>548</v>
      </c>
      <c r="C97" t="str">
        <f>IF(RIGHT(B97,5)="22,22","VIC20","")</f>
        <v/>
      </c>
      <c r="D97">
        <f>SEARCH(",",B97)</f>
        <v>2</v>
      </c>
      <c r="E97">
        <f>SEARCH(",",B97,D97+1)</f>
        <v>4</v>
      </c>
      <c r="F97">
        <f>SEARCH(",",B97,E97+1)</f>
        <v>7</v>
      </c>
      <c r="G97">
        <f>VALUE(MID(B97,1,D97-1))</f>
        <v>1</v>
      </c>
      <c r="H97">
        <f>VALUE(MID(B97,D97+1,E97-D97-1))</f>
        <v>1</v>
      </c>
      <c r="I97">
        <f>VALUE(MID(B97,E97+1,F97-E97-1))</f>
        <v>22</v>
      </c>
      <c r="J97">
        <f>VALUE(MID(B97,F97+1,4))</f>
        <v>30</v>
      </c>
    </row>
    <row r="98" spans="1:10" x14ac:dyDescent="0.25">
      <c r="A98" t="s">
        <v>102</v>
      </c>
      <c r="B98" t="s">
        <v>552</v>
      </c>
      <c r="C98" t="s">
        <v>544</v>
      </c>
      <c r="D98">
        <f>SEARCH(",",B98)</f>
        <v>2</v>
      </c>
      <c r="E98">
        <f>SEARCH(",",B98,D98+1)</f>
        <v>4</v>
      </c>
      <c r="F98">
        <f>SEARCH(",",B98,E98+1)</f>
        <v>7</v>
      </c>
      <c r="G98">
        <f>VALUE(MID(B98,1,D98-1))</f>
        <v>1</v>
      </c>
      <c r="H98">
        <f>VALUE(MID(B98,D98+1,E98-D98-1))</f>
        <v>1</v>
      </c>
      <c r="I98">
        <f>VALUE(MID(B98,E98+1,F98-E98-1))</f>
        <v>22</v>
      </c>
      <c r="J98">
        <f>VALUE(MID(B98,F98+1,4))</f>
        <v>22</v>
      </c>
    </row>
    <row r="99" spans="1:10" x14ac:dyDescent="0.25">
      <c r="A99" t="s">
        <v>507</v>
      </c>
      <c r="B99" t="s">
        <v>552</v>
      </c>
      <c r="C99" t="s">
        <v>544</v>
      </c>
      <c r="D99">
        <f>SEARCH(",",B99)</f>
        <v>2</v>
      </c>
      <c r="E99">
        <f>SEARCH(",",B99,D99+1)</f>
        <v>4</v>
      </c>
      <c r="F99">
        <f>SEARCH(",",B99,E99+1)</f>
        <v>7</v>
      </c>
      <c r="G99">
        <f>VALUE(MID(B99,1,D99-1))</f>
        <v>1</v>
      </c>
      <c r="H99">
        <f>VALUE(MID(B99,D99+1,E99-D99-1))</f>
        <v>1</v>
      </c>
      <c r="I99">
        <f>VALUE(MID(B99,E99+1,F99-E99-1))</f>
        <v>22</v>
      </c>
      <c r="J99">
        <f>VALUE(MID(B99,F99+1,4))</f>
        <v>22</v>
      </c>
    </row>
    <row r="100" spans="1:10" hidden="1" x14ac:dyDescent="0.25">
      <c r="A100" t="s">
        <v>98</v>
      </c>
      <c r="B100" t="s">
        <v>555</v>
      </c>
      <c r="C100" t="str">
        <f>IF(RIGHT(B100,5)="22,22","VIC20","")</f>
        <v/>
      </c>
      <c r="D100">
        <f>SEARCH(",",B100)</f>
        <v>2</v>
      </c>
      <c r="E100">
        <f>SEARCH(",",B100,D100+1)</f>
        <v>4</v>
      </c>
      <c r="F100">
        <f>SEARCH(",",B100,E100+1)</f>
        <v>7</v>
      </c>
      <c r="G100">
        <f>VALUE(MID(B100,1,D100-1))</f>
        <v>2</v>
      </c>
      <c r="H100">
        <f>VALUE(MID(B100,D100+1,E100-D100-1))</f>
        <v>1</v>
      </c>
      <c r="I100">
        <f>VALUE(MID(B100,E100+1,F100-E100-1))</f>
        <v>19</v>
      </c>
      <c r="J100">
        <f>VALUE(MID(B100,F100+1,4))</f>
        <v>30</v>
      </c>
    </row>
    <row r="101" spans="1:10" x14ac:dyDescent="0.25">
      <c r="A101" t="s">
        <v>74</v>
      </c>
      <c r="B101" t="s">
        <v>552</v>
      </c>
      <c r="C101" t="s">
        <v>544</v>
      </c>
      <c r="D101">
        <f>SEARCH(",",B101)</f>
        <v>2</v>
      </c>
      <c r="E101">
        <f>SEARCH(",",B101,D101+1)</f>
        <v>4</v>
      </c>
      <c r="F101">
        <f>SEARCH(",",B101,E101+1)</f>
        <v>7</v>
      </c>
      <c r="G101">
        <f>VALUE(MID(B101,1,D101-1))</f>
        <v>1</v>
      </c>
      <c r="H101">
        <f>VALUE(MID(B101,D101+1,E101-D101-1))</f>
        <v>1</v>
      </c>
      <c r="I101">
        <f>VALUE(MID(B101,E101+1,F101-E101-1))</f>
        <v>22</v>
      </c>
      <c r="J101">
        <f>VALUE(MID(B101,F101+1,4))</f>
        <v>22</v>
      </c>
    </row>
    <row r="102" spans="1:10" hidden="1" x14ac:dyDescent="0.25">
      <c r="A102" t="s">
        <v>100</v>
      </c>
      <c r="B102" t="s">
        <v>588</v>
      </c>
      <c r="C102" t="str">
        <f>IF(RIGHT(B102,5)="22,22","VIC20","")</f>
        <v/>
      </c>
      <c r="D102">
        <f>SEARCH(",",B102)</f>
        <v>2</v>
      </c>
      <c r="E102">
        <f>SEARCH(",",B102,D102+1)</f>
        <v>4</v>
      </c>
      <c r="F102">
        <f>SEARCH(",",B102,E102+1)</f>
        <v>7</v>
      </c>
      <c r="G102">
        <f>VALUE(MID(B102,1,D102-1))</f>
        <v>1</v>
      </c>
      <c r="H102">
        <f>VALUE(MID(B102,D102+1,E102-D102-1))</f>
        <v>3</v>
      </c>
      <c r="I102">
        <f>VALUE(MID(B102,E102+1,F102-E102-1))</f>
        <v>22</v>
      </c>
      <c r="J102">
        <f>VALUE(MID(B102,F102+1,4))</f>
        <v>25</v>
      </c>
    </row>
    <row r="103" spans="1:10" hidden="1" x14ac:dyDescent="0.25">
      <c r="A103" t="s">
        <v>101</v>
      </c>
      <c r="B103" t="s">
        <v>589</v>
      </c>
      <c r="C103" t="str">
        <f>IF(RIGHT(B103,5)="22,22","VIC20","")</f>
        <v/>
      </c>
      <c r="D103">
        <f>SEARCH(",",B103)</f>
        <v>2</v>
      </c>
      <c r="E103">
        <f>SEARCH(",",B103,D103+1)</f>
        <v>4</v>
      </c>
      <c r="F103">
        <f>SEARCH(",",B103,E103+1)</f>
        <v>7</v>
      </c>
      <c r="G103">
        <f>VALUE(MID(B103,1,D103-1))</f>
        <v>1</v>
      </c>
      <c r="H103">
        <f>VALUE(MID(B103,D103+1,E103-D103-1))</f>
        <v>1</v>
      </c>
      <c r="I103">
        <f>VALUE(MID(B103,E103+1,F103-E103-1))</f>
        <v>22</v>
      </c>
      <c r="J103">
        <f>VALUE(MID(B103,F103+1,4))</f>
        <v>24</v>
      </c>
    </row>
    <row r="104" spans="1:10" x14ac:dyDescent="0.25">
      <c r="A104" t="s">
        <v>75</v>
      </c>
      <c r="B104" t="s">
        <v>552</v>
      </c>
      <c r="C104" t="s">
        <v>544</v>
      </c>
      <c r="D104">
        <f>SEARCH(",",B104)</f>
        <v>2</v>
      </c>
      <c r="E104">
        <f>SEARCH(",",B104,D104+1)</f>
        <v>4</v>
      </c>
      <c r="F104">
        <f>SEARCH(",",B104,E104+1)</f>
        <v>7</v>
      </c>
      <c r="G104">
        <f>VALUE(MID(B104,1,D104-1))</f>
        <v>1</v>
      </c>
      <c r="H104">
        <f>VALUE(MID(B104,D104+1,E104-D104-1))</f>
        <v>1</v>
      </c>
      <c r="I104">
        <f>VALUE(MID(B104,E104+1,F104-E104-1))</f>
        <v>22</v>
      </c>
      <c r="J104">
        <f>VALUE(MID(B104,F104+1,4))</f>
        <v>22</v>
      </c>
    </row>
    <row r="105" spans="1:10" hidden="1" x14ac:dyDescent="0.25">
      <c r="A105" t="s">
        <v>103</v>
      </c>
      <c r="B105" t="s">
        <v>546</v>
      </c>
      <c r="C105" t="str">
        <f>IF(RIGHT(B105,5)="22,22","VIC20","")</f>
        <v/>
      </c>
      <c r="D105">
        <f>SEARCH(",",B105)</f>
        <v>2</v>
      </c>
      <c r="E105">
        <f>SEARCH(",",B105,D105+1)</f>
        <v>4</v>
      </c>
      <c r="F105">
        <f>SEARCH(",",B105,E105+1)</f>
        <v>7</v>
      </c>
      <c r="G105">
        <f>VALUE(MID(B105,1,D105-1))</f>
        <v>1</v>
      </c>
      <c r="H105">
        <f>VALUE(MID(B105,D105+1,E105-D105-1))</f>
        <v>0</v>
      </c>
      <c r="I105">
        <f>VALUE(MID(B105,E105+1,F105-E105-1))</f>
        <v>23</v>
      </c>
      <c r="J105">
        <f>VALUE(MID(B105,F105+1,4))</f>
        <v>32</v>
      </c>
    </row>
    <row r="106" spans="1:10" hidden="1" x14ac:dyDescent="0.25">
      <c r="A106" t="s">
        <v>104</v>
      </c>
      <c r="B106" t="s">
        <v>551</v>
      </c>
      <c r="C106" t="str">
        <f>IF(RIGHT(B106,5)="22,22","VIC20","")</f>
        <v/>
      </c>
      <c r="D106">
        <f>SEARCH(",",B106)</f>
        <v>2</v>
      </c>
      <c r="E106">
        <f>SEARCH(",",B106,D106+1)</f>
        <v>4</v>
      </c>
      <c r="F106">
        <f>SEARCH(",",B106,E106+1)</f>
        <v>7</v>
      </c>
      <c r="G106">
        <f>VALUE(MID(B106,1,D106-1))</f>
        <v>1</v>
      </c>
      <c r="H106">
        <f>VALUE(MID(B106,D106+1,E106-D106-1))</f>
        <v>0</v>
      </c>
      <c r="I106">
        <f>VALUE(MID(B106,E106+1,F106-E106-1))</f>
        <v>22</v>
      </c>
      <c r="J106">
        <f>VALUE(MID(B106,F106+1,4))</f>
        <v>32</v>
      </c>
    </row>
    <row r="107" spans="1:10" x14ac:dyDescent="0.25">
      <c r="A107" t="s">
        <v>76</v>
      </c>
      <c r="B107" t="s">
        <v>552</v>
      </c>
      <c r="C107" t="s">
        <v>544</v>
      </c>
      <c r="D107">
        <f>SEARCH(",",B107)</f>
        <v>2</v>
      </c>
      <c r="E107">
        <f>SEARCH(",",B107,D107+1)</f>
        <v>4</v>
      </c>
      <c r="F107">
        <f>SEARCH(",",B107,E107+1)</f>
        <v>7</v>
      </c>
      <c r="G107">
        <f>VALUE(MID(B107,1,D107-1))</f>
        <v>1</v>
      </c>
      <c r="H107">
        <f>VALUE(MID(B107,D107+1,E107-D107-1))</f>
        <v>1</v>
      </c>
      <c r="I107">
        <f>VALUE(MID(B107,E107+1,F107-E107-1))</f>
        <v>22</v>
      </c>
      <c r="J107">
        <f>VALUE(MID(B107,F107+1,4))</f>
        <v>22</v>
      </c>
    </row>
    <row r="108" spans="1:10" hidden="1" x14ac:dyDescent="0.25">
      <c r="A108" t="s">
        <v>106</v>
      </c>
      <c r="B108" t="s">
        <v>590</v>
      </c>
      <c r="C108" t="str">
        <f>IF(RIGHT(B108,5)="22,22","VIC20","")</f>
        <v/>
      </c>
      <c r="D108">
        <f>SEARCH(",",B108)</f>
        <v>2</v>
      </c>
      <c r="E108">
        <f>SEARCH(",",B108,D108+1)</f>
        <v>4</v>
      </c>
      <c r="F108">
        <f>SEARCH(",",B108,E108+1)</f>
        <v>7</v>
      </c>
      <c r="G108">
        <f>VALUE(MID(B108,1,D108-1))</f>
        <v>1</v>
      </c>
      <c r="H108">
        <f>VALUE(MID(B108,D108+1,E108-D108-1))</f>
        <v>1</v>
      </c>
      <c r="I108">
        <f>VALUE(MID(B108,E108+1,F108-E108-1))</f>
        <v>16</v>
      </c>
      <c r="J108">
        <f>VALUE(MID(B108,F108+1,4))</f>
        <v>30</v>
      </c>
    </row>
    <row r="109" spans="1:10" hidden="1" x14ac:dyDescent="0.25">
      <c r="A109" t="s">
        <v>107</v>
      </c>
      <c r="B109" t="s">
        <v>548</v>
      </c>
      <c r="C109" t="str">
        <f>IF(RIGHT(B109,5)="22,22","VIC20","")</f>
        <v/>
      </c>
      <c r="D109">
        <f>SEARCH(",",B109)</f>
        <v>2</v>
      </c>
      <c r="E109">
        <f>SEARCH(",",B109,D109+1)</f>
        <v>4</v>
      </c>
      <c r="F109">
        <f>SEARCH(",",B109,E109+1)</f>
        <v>7</v>
      </c>
      <c r="G109">
        <f>VALUE(MID(B109,1,D109-1))</f>
        <v>1</v>
      </c>
      <c r="H109">
        <f>VALUE(MID(B109,D109+1,E109-D109-1))</f>
        <v>1</v>
      </c>
      <c r="I109">
        <f>VALUE(MID(B109,E109+1,F109-E109-1))</f>
        <v>22</v>
      </c>
      <c r="J109">
        <f>VALUE(MID(B109,F109+1,4))</f>
        <v>30</v>
      </c>
    </row>
    <row r="110" spans="1:10" hidden="1" x14ac:dyDescent="0.25">
      <c r="A110" t="s">
        <v>108</v>
      </c>
      <c r="B110" t="s">
        <v>591</v>
      </c>
      <c r="C110" t="str">
        <f>IF(RIGHT(B110,5)="22,22","VIC20","")</f>
        <v/>
      </c>
      <c r="D110">
        <f>SEARCH(",",B110)</f>
        <v>2</v>
      </c>
      <c r="E110">
        <f>SEARCH(",",B110,D110+1)</f>
        <v>4</v>
      </c>
      <c r="F110">
        <f>SEARCH(",",B110,E110+1)</f>
        <v>7</v>
      </c>
      <c r="G110">
        <f>VALUE(MID(B110,1,D110-1))</f>
        <v>3</v>
      </c>
      <c r="H110">
        <f>VALUE(MID(B110,D110+1,E110-D110-1))</f>
        <v>1</v>
      </c>
      <c r="I110">
        <f>VALUE(MID(B110,E110+1,F110-E110-1))</f>
        <v>18</v>
      </c>
      <c r="J110">
        <f>VALUE(MID(B110,F110+1,4))</f>
        <v>30</v>
      </c>
    </row>
    <row r="111" spans="1:10" hidden="1" x14ac:dyDescent="0.25">
      <c r="A111" t="s">
        <v>109</v>
      </c>
      <c r="B111" t="s">
        <v>548</v>
      </c>
      <c r="C111" t="str">
        <f>IF(RIGHT(B111,5)="22,22","VIC20","")</f>
        <v/>
      </c>
      <c r="D111">
        <f>SEARCH(",",B111)</f>
        <v>2</v>
      </c>
      <c r="E111">
        <f>SEARCH(",",B111,D111+1)</f>
        <v>4</v>
      </c>
      <c r="F111">
        <f>SEARCH(",",B111,E111+1)</f>
        <v>7</v>
      </c>
      <c r="G111">
        <f>VALUE(MID(B111,1,D111-1))</f>
        <v>1</v>
      </c>
      <c r="H111">
        <f>VALUE(MID(B111,D111+1,E111-D111-1))</f>
        <v>1</v>
      </c>
      <c r="I111">
        <f>VALUE(MID(B111,E111+1,F111-E111-1))</f>
        <v>22</v>
      </c>
      <c r="J111">
        <f>VALUE(MID(B111,F111+1,4))</f>
        <v>30</v>
      </c>
    </row>
    <row r="112" spans="1:10" hidden="1" x14ac:dyDescent="0.25">
      <c r="A112" t="s">
        <v>110</v>
      </c>
      <c r="B112" t="s">
        <v>592</v>
      </c>
      <c r="C112" t="str">
        <f>IF(RIGHT(B112,5)="22,22","VIC20","")</f>
        <v/>
      </c>
      <c r="D112">
        <f>SEARCH(",",B112)</f>
        <v>2</v>
      </c>
      <c r="E112">
        <f>SEARCH(",",B112,D112+1)</f>
        <v>4</v>
      </c>
      <c r="F112">
        <f>SEARCH(",",B112,E112+1)</f>
        <v>7</v>
      </c>
      <c r="G112">
        <f>VALUE(MID(B112,1,D112-1))</f>
        <v>1</v>
      </c>
      <c r="H112">
        <f>VALUE(MID(B112,D112+1,E112-D112-1))</f>
        <v>1</v>
      </c>
      <c r="I112">
        <f>VALUE(MID(B112,E112+1,F112-E112-1))</f>
        <v>23</v>
      </c>
      <c r="J112">
        <f>VALUE(MID(B112,F112+1,4))</f>
        <v>30</v>
      </c>
    </row>
    <row r="113" spans="1:10" x14ac:dyDescent="0.25">
      <c r="A113" t="s">
        <v>78</v>
      </c>
      <c r="B113" t="s">
        <v>552</v>
      </c>
      <c r="C113" t="s">
        <v>544</v>
      </c>
      <c r="D113">
        <f>SEARCH(",",B113)</f>
        <v>2</v>
      </c>
      <c r="E113">
        <f>SEARCH(",",B113,D113+1)</f>
        <v>4</v>
      </c>
      <c r="F113">
        <f>SEARCH(",",B113,E113+1)</f>
        <v>7</v>
      </c>
      <c r="G113">
        <f>VALUE(MID(B113,1,D113-1))</f>
        <v>1</v>
      </c>
      <c r="H113">
        <f>VALUE(MID(B113,D113+1,E113-D113-1))</f>
        <v>1</v>
      </c>
      <c r="I113">
        <f>VALUE(MID(B113,E113+1,F113-E113-1))</f>
        <v>22</v>
      </c>
      <c r="J113">
        <f>VALUE(MID(B113,F113+1,4))</f>
        <v>22</v>
      </c>
    </row>
    <row r="114" spans="1:10" x14ac:dyDescent="0.25">
      <c r="A114" t="s">
        <v>79</v>
      </c>
      <c r="B114" t="s">
        <v>552</v>
      </c>
      <c r="C114" t="s">
        <v>544</v>
      </c>
      <c r="D114">
        <f>SEARCH(",",B114)</f>
        <v>2</v>
      </c>
      <c r="E114">
        <f>SEARCH(",",B114,D114+1)</f>
        <v>4</v>
      </c>
      <c r="F114">
        <f>SEARCH(",",B114,E114+1)</f>
        <v>7</v>
      </c>
      <c r="G114">
        <f>VALUE(MID(B114,1,D114-1))</f>
        <v>1</v>
      </c>
      <c r="H114">
        <f>VALUE(MID(B114,D114+1,E114-D114-1))</f>
        <v>1</v>
      </c>
      <c r="I114">
        <f>VALUE(MID(B114,E114+1,F114-E114-1))</f>
        <v>22</v>
      </c>
      <c r="J114">
        <f>VALUE(MID(B114,F114+1,4))</f>
        <v>22</v>
      </c>
    </row>
    <row r="115" spans="1:10" hidden="1" x14ac:dyDescent="0.25">
      <c r="A115" t="s">
        <v>113</v>
      </c>
      <c r="B115" t="s">
        <v>548</v>
      </c>
      <c r="C115" t="str">
        <f>IF(RIGHT(B115,5)="22,22","VIC20","")</f>
        <v/>
      </c>
      <c r="D115">
        <f>SEARCH(",",B115)</f>
        <v>2</v>
      </c>
      <c r="E115">
        <f>SEARCH(",",B115,D115+1)</f>
        <v>4</v>
      </c>
      <c r="F115">
        <f>SEARCH(",",B115,E115+1)</f>
        <v>7</v>
      </c>
      <c r="G115">
        <f>VALUE(MID(B115,1,D115-1))</f>
        <v>1</v>
      </c>
      <c r="H115">
        <f>VALUE(MID(B115,D115+1,E115-D115-1))</f>
        <v>1</v>
      </c>
      <c r="I115">
        <f>VALUE(MID(B115,E115+1,F115-E115-1))</f>
        <v>22</v>
      </c>
      <c r="J115">
        <f>VALUE(MID(B115,F115+1,4))</f>
        <v>30</v>
      </c>
    </row>
    <row r="116" spans="1:10" x14ac:dyDescent="0.25">
      <c r="A116" t="s">
        <v>80</v>
      </c>
      <c r="B116" t="s">
        <v>580</v>
      </c>
      <c r="C116" t="s">
        <v>544</v>
      </c>
      <c r="D116">
        <f>SEARCH(",",B116)</f>
        <v>2</v>
      </c>
      <c r="E116">
        <f>SEARCH(",",B116,D116+1)</f>
        <v>4</v>
      </c>
      <c r="F116">
        <f>SEARCH(",",B116,E116+1)</f>
        <v>7</v>
      </c>
      <c r="G116">
        <f>VALUE(MID(B116,1,D116-1))</f>
        <v>4</v>
      </c>
      <c r="H116">
        <f>VALUE(MID(B116,D116+1,E116-D116-1))</f>
        <v>5</v>
      </c>
      <c r="I116">
        <f>VALUE(MID(B116,E116+1,F116-E116-1))</f>
        <v>14</v>
      </c>
      <c r="J116">
        <f>VALUE(MID(B116,F116+1,4))</f>
        <v>22</v>
      </c>
    </row>
    <row r="117" spans="1:10" hidden="1" x14ac:dyDescent="0.25">
      <c r="A117" t="s">
        <v>115</v>
      </c>
      <c r="B117" t="s">
        <v>558</v>
      </c>
      <c r="C117" t="str">
        <f>IF(RIGHT(B117,5)="22,22","VIC20","")</f>
        <v/>
      </c>
      <c r="D117">
        <f>SEARCH(",",B117)</f>
        <v>2</v>
      </c>
      <c r="E117">
        <f>SEARCH(",",B117,D117+1)</f>
        <v>4</v>
      </c>
      <c r="F117">
        <f>SEARCH(",",B117,E117+1)</f>
        <v>7</v>
      </c>
      <c r="G117">
        <f>VALUE(MID(B117,1,D117-1))</f>
        <v>0</v>
      </c>
      <c r="H117">
        <f>VALUE(MID(B117,D117+1,E117-D117-1))</f>
        <v>0</v>
      </c>
      <c r="I117">
        <f>VALUE(MID(B117,E117+1,F117-E117-1))</f>
        <v>23</v>
      </c>
      <c r="J117">
        <f>VALUE(MID(B117,F117+1,4))</f>
        <v>32</v>
      </c>
    </row>
    <row r="118" spans="1:10" x14ac:dyDescent="0.25">
      <c r="A118" t="s">
        <v>132</v>
      </c>
      <c r="B118" t="s">
        <v>552</v>
      </c>
      <c r="C118" t="s">
        <v>544</v>
      </c>
      <c r="D118">
        <f>SEARCH(",",B118)</f>
        <v>2</v>
      </c>
      <c r="E118">
        <f>SEARCH(",",B118,D118+1)</f>
        <v>4</v>
      </c>
      <c r="F118">
        <f>SEARCH(",",B118,E118+1)</f>
        <v>7</v>
      </c>
      <c r="G118">
        <f>VALUE(MID(B118,1,D118-1))</f>
        <v>1</v>
      </c>
      <c r="H118">
        <f>VALUE(MID(B118,D118+1,E118-D118-1))</f>
        <v>1</v>
      </c>
      <c r="I118">
        <f>VALUE(MID(B118,E118+1,F118-E118-1))</f>
        <v>22</v>
      </c>
      <c r="J118">
        <f>VALUE(MID(B118,F118+1,4))</f>
        <v>22</v>
      </c>
    </row>
    <row r="119" spans="1:10" x14ac:dyDescent="0.25">
      <c r="A119" t="s">
        <v>86</v>
      </c>
      <c r="B119" t="s">
        <v>552</v>
      </c>
      <c r="C119" t="s">
        <v>544</v>
      </c>
      <c r="D119">
        <f>SEARCH(",",B119)</f>
        <v>2</v>
      </c>
      <c r="E119">
        <f>SEARCH(",",B119,D119+1)</f>
        <v>4</v>
      </c>
      <c r="F119">
        <f>SEARCH(",",B119,E119+1)</f>
        <v>7</v>
      </c>
      <c r="G119">
        <f>VALUE(MID(B119,1,D119-1))</f>
        <v>1</v>
      </c>
      <c r="H119">
        <f>VALUE(MID(B119,D119+1,E119-D119-1))</f>
        <v>1</v>
      </c>
      <c r="I119">
        <f>VALUE(MID(B119,E119+1,F119-E119-1))</f>
        <v>22</v>
      </c>
      <c r="J119">
        <f>VALUE(MID(B119,F119+1,4))</f>
        <v>22</v>
      </c>
    </row>
    <row r="120" spans="1:10" x14ac:dyDescent="0.25">
      <c r="A120" t="s">
        <v>143</v>
      </c>
      <c r="B120" t="s">
        <v>552</v>
      </c>
      <c r="C120" t="s">
        <v>544</v>
      </c>
      <c r="D120">
        <f>SEARCH(",",B120)</f>
        <v>2</v>
      </c>
      <c r="E120">
        <f>SEARCH(",",B120,D120+1)</f>
        <v>4</v>
      </c>
      <c r="F120">
        <f>SEARCH(",",B120,E120+1)</f>
        <v>7</v>
      </c>
      <c r="G120">
        <f>VALUE(MID(B120,1,D120-1))</f>
        <v>1</v>
      </c>
      <c r="H120">
        <f>VALUE(MID(B120,D120+1,E120-D120-1))</f>
        <v>1</v>
      </c>
      <c r="I120">
        <f>VALUE(MID(B120,E120+1,F120-E120-1))</f>
        <v>22</v>
      </c>
      <c r="J120">
        <f>VALUE(MID(B120,F120+1,4))</f>
        <v>22</v>
      </c>
    </row>
    <row r="121" spans="1:10" hidden="1" x14ac:dyDescent="0.25">
      <c r="A121" t="s">
        <v>119</v>
      </c>
      <c r="B121" t="s">
        <v>594</v>
      </c>
      <c r="C121" t="str">
        <f>IF(RIGHT(B121,5)="22,22","VIC20","")</f>
        <v/>
      </c>
      <c r="D121">
        <f>SEARCH(",",B121)</f>
        <v>2</v>
      </c>
      <c r="E121">
        <f>SEARCH(",",B121,D121+1)</f>
        <v>4</v>
      </c>
      <c r="F121">
        <f>SEARCH(",",B121,E121+1)</f>
        <v>7</v>
      </c>
      <c r="G121">
        <f>VALUE(MID(B121,1,D121-1))</f>
        <v>1</v>
      </c>
      <c r="H121">
        <f>VALUE(MID(B121,D121+1,E121-D121-1))</f>
        <v>1</v>
      </c>
      <c r="I121">
        <f>VALUE(MID(B121,E121+1,F121-E121-1))</f>
        <v>21</v>
      </c>
      <c r="J121">
        <f>VALUE(MID(B121,F121+1,4))</f>
        <v>30</v>
      </c>
    </row>
    <row r="122" spans="1:10" hidden="1" x14ac:dyDescent="0.25">
      <c r="A122" t="s">
        <v>120</v>
      </c>
      <c r="B122" t="s">
        <v>595</v>
      </c>
      <c r="C122" t="str">
        <f>IF(RIGHT(B122,5)="22,22","VIC20","")</f>
        <v/>
      </c>
      <c r="D122">
        <f>SEARCH(",",B122)</f>
        <v>2</v>
      </c>
      <c r="E122">
        <f>SEARCH(",",B122,D122+1)</f>
        <v>4</v>
      </c>
      <c r="F122">
        <f>SEARCH(",",B122,E122+1)</f>
        <v>7</v>
      </c>
      <c r="G122">
        <f>VALUE(MID(B122,1,D122-1))</f>
        <v>1</v>
      </c>
      <c r="H122">
        <f>VALUE(MID(B122,D122+1,E122-D122-1))</f>
        <v>0</v>
      </c>
      <c r="I122">
        <f>VALUE(MID(B122,E122+1,F122-E122-1))</f>
        <v>20</v>
      </c>
      <c r="J122">
        <f>VALUE(MID(B122,F122+1,4))</f>
        <v>32</v>
      </c>
    </row>
    <row r="123" spans="1:10" hidden="1" x14ac:dyDescent="0.25">
      <c r="A123" t="s">
        <v>121</v>
      </c>
      <c r="B123" t="s">
        <v>596</v>
      </c>
      <c r="C123" t="str">
        <f>IF(RIGHT(B123,5)="22,22","VIC20","")</f>
        <v/>
      </c>
      <c r="D123">
        <f>SEARCH(",",B123)</f>
        <v>2</v>
      </c>
      <c r="E123">
        <f>SEARCH(",",B123,D123+1)</f>
        <v>4</v>
      </c>
      <c r="F123">
        <f>SEARCH(",",B123,E123+1)</f>
        <v>7</v>
      </c>
      <c r="G123">
        <f>VALUE(MID(B123,1,D123-1))</f>
        <v>0</v>
      </c>
      <c r="H123">
        <f>VALUE(MID(B123,D123+1,E123-D123-1))</f>
        <v>0</v>
      </c>
      <c r="I123">
        <f>VALUE(MID(B123,E123+1,F123-E123-1))</f>
        <v>22</v>
      </c>
      <c r="J123">
        <f>VALUE(MID(B123,F123+1,4))</f>
        <v>31</v>
      </c>
    </row>
    <row r="124" spans="1:10" hidden="1" x14ac:dyDescent="0.25">
      <c r="A124" t="s">
        <v>122</v>
      </c>
      <c r="B124" t="s">
        <v>547</v>
      </c>
      <c r="C124" t="str">
        <f>IF(RIGHT(B124,5)="22,22","VIC20","")</f>
        <v/>
      </c>
      <c r="D124">
        <f>SEARCH(",",B124)</f>
        <v>2</v>
      </c>
      <c r="E124">
        <f>SEARCH(",",B124,D124+1)</f>
        <v>4</v>
      </c>
      <c r="F124">
        <f>SEARCH(",",B124,E124+1)</f>
        <v>7</v>
      </c>
      <c r="G124">
        <f>VALUE(MID(B124,1,D124-1))</f>
        <v>1</v>
      </c>
      <c r="H124">
        <f>VALUE(MID(B124,D124+1,E124-D124-1))</f>
        <v>1</v>
      </c>
      <c r="I124">
        <f>VALUE(MID(B124,E124+1,F124-E124-1))</f>
        <v>18</v>
      </c>
      <c r="J124">
        <f>VALUE(MID(B124,F124+1,4))</f>
        <v>30</v>
      </c>
    </row>
    <row r="125" spans="1:10" hidden="1" x14ac:dyDescent="0.25">
      <c r="A125" t="s">
        <v>123</v>
      </c>
      <c r="B125" t="s">
        <v>547</v>
      </c>
      <c r="C125" t="str">
        <f>IF(RIGHT(B125,5)="22,22","VIC20","")</f>
        <v/>
      </c>
      <c r="D125">
        <f>SEARCH(",",B125)</f>
        <v>2</v>
      </c>
      <c r="E125">
        <f>SEARCH(",",B125,D125+1)</f>
        <v>4</v>
      </c>
      <c r="F125">
        <f>SEARCH(",",B125,E125+1)</f>
        <v>7</v>
      </c>
      <c r="G125">
        <f>VALUE(MID(B125,1,D125-1))</f>
        <v>1</v>
      </c>
      <c r="H125">
        <f>VALUE(MID(B125,D125+1,E125-D125-1))</f>
        <v>1</v>
      </c>
      <c r="I125">
        <f>VALUE(MID(B125,E125+1,F125-E125-1))</f>
        <v>18</v>
      </c>
      <c r="J125">
        <f>VALUE(MID(B125,F125+1,4))</f>
        <v>30</v>
      </c>
    </row>
    <row r="126" spans="1:10" hidden="1" x14ac:dyDescent="0.25">
      <c r="A126" t="s">
        <v>124</v>
      </c>
      <c r="B126" t="s">
        <v>597</v>
      </c>
      <c r="C126" t="str">
        <f>IF(RIGHT(B126,5)="22,22","VIC20","")</f>
        <v/>
      </c>
      <c r="D126">
        <f>SEARCH(",",B126)</f>
        <v>2</v>
      </c>
      <c r="E126">
        <f>SEARCH(",",B126,D126+1)</f>
        <v>4</v>
      </c>
      <c r="F126">
        <f>SEARCH(",",B126,E126+1)</f>
        <v>7</v>
      </c>
      <c r="G126">
        <f>VALUE(MID(B126,1,D126-1))</f>
        <v>1</v>
      </c>
      <c r="H126">
        <f>VALUE(MID(B126,D126+1,E126-D126-1))</f>
        <v>2</v>
      </c>
      <c r="I126">
        <f>VALUE(MID(B126,E126+1,F126-E126-1))</f>
        <v>22</v>
      </c>
      <c r="J126">
        <f>VALUE(MID(B126,F126+1,4))</f>
        <v>28</v>
      </c>
    </row>
    <row r="127" spans="1:10" hidden="1" x14ac:dyDescent="0.25">
      <c r="A127" t="s">
        <v>125</v>
      </c>
      <c r="B127" t="s">
        <v>551</v>
      </c>
      <c r="C127" t="str">
        <f>IF(RIGHT(B127,5)="22,22","VIC20","")</f>
        <v/>
      </c>
      <c r="D127">
        <f>SEARCH(",",B127)</f>
        <v>2</v>
      </c>
      <c r="E127">
        <f>SEARCH(",",B127,D127+1)</f>
        <v>4</v>
      </c>
      <c r="F127">
        <f>SEARCH(",",B127,E127+1)</f>
        <v>7</v>
      </c>
      <c r="G127">
        <f>VALUE(MID(B127,1,D127-1))</f>
        <v>1</v>
      </c>
      <c r="H127">
        <f>VALUE(MID(B127,D127+1,E127-D127-1))</f>
        <v>0</v>
      </c>
      <c r="I127">
        <f>VALUE(MID(B127,E127+1,F127-E127-1))</f>
        <v>22</v>
      </c>
      <c r="J127">
        <f>VALUE(MID(B127,F127+1,4))</f>
        <v>32</v>
      </c>
    </row>
    <row r="128" spans="1:10" hidden="1" x14ac:dyDescent="0.25">
      <c r="A128" t="s">
        <v>126</v>
      </c>
      <c r="B128" t="s">
        <v>598</v>
      </c>
      <c r="C128" t="str">
        <f>IF(RIGHT(B128,5)="22,22","VIC20","")</f>
        <v/>
      </c>
      <c r="D128">
        <f>SEARCH(",",B128)</f>
        <v>2</v>
      </c>
      <c r="E128">
        <f>SEARCH(",",B128,D128+1)</f>
        <v>4</v>
      </c>
      <c r="F128">
        <f>SEARCH(",",B128,E128+1)</f>
        <v>7</v>
      </c>
      <c r="G128">
        <f>VALUE(MID(B128,1,D128-1))</f>
        <v>0</v>
      </c>
      <c r="H128">
        <f>VALUE(MID(B128,D128+1,E128-D128-1))</f>
        <v>0</v>
      </c>
      <c r="I128">
        <f>VALUE(MID(B128,E128+1,F128-E128-1))</f>
        <v>24</v>
      </c>
      <c r="J128">
        <f>VALUE(MID(B128,F128+1,4))</f>
        <v>32</v>
      </c>
    </row>
    <row r="129" spans="1:10" hidden="1" x14ac:dyDescent="0.25">
      <c r="A129" t="s">
        <v>127</v>
      </c>
      <c r="B129" t="s">
        <v>598</v>
      </c>
      <c r="C129" t="str">
        <f>IF(RIGHT(B129,5)="22,22","VIC20","")</f>
        <v/>
      </c>
      <c r="D129">
        <f>SEARCH(",",B129)</f>
        <v>2</v>
      </c>
      <c r="E129">
        <f>SEARCH(",",B129,D129+1)</f>
        <v>4</v>
      </c>
      <c r="F129">
        <f>SEARCH(",",B129,E129+1)</f>
        <v>7</v>
      </c>
      <c r="G129">
        <f>VALUE(MID(B129,1,D129-1))</f>
        <v>0</v>
      </c>
      <c r="H129">
        <f>VALUE(MID(B129,D129+1,E129-D129-1))</f>
        <v>0</v>
      </c>
      <c r="I129">
        <f>VALUE(MID(B129,E129+1,F129-E129-1))</f>
        <v>24</v>
      </c>
      <c r="J129">
        <f>VALUE(MID(B129,F129+1,4))</f>
        <v>32</v>
      </c>
    </row>
    <row r="130" spans="1:10" hidden="1" x14ac:dyDescent="0.25">
      <c r="A130" t="s">
        <v>128</v>
      </c>
      <c r="B130" t="s">
        <v>570</v>
      </c>
      <c r="C130" t="str">
        <f>IF(RIGHT(B130,5)="22,22","VIC20","")</f>
        <v/>
      </c>
      <c r="D130">
        <f>SEARCH(",",B130)</f>
        <v>2</v>
      </c>
      <c r="E130">
        <f>SEARCH(",",B130,D130+1)</f>
        <v>4</v>
      </c>
      <c r="F130">
        <f>SEARCH(",",B130,E130+1)</f>
        <v>7</v>
      </c>
      <c r="G130">
        <f>VALUE(MID(B130,1,D130-1))</f>
        <v>2</v>
      </c>
      <c r="H130">
        <f>VALUE(MID(B130,D130+1,E130-D130-1))</f>
        <v>1</v>
      </c>
      <c r="I130">
        <f>VALUE(MID(B130,E130+1,F130-E130-1))</f>
        <v>21</v>
      </c>
      <c r="J130">
        <f>VALUE(MID(B130,F130+1,4))</f>
        <v>30</v>
      </c>
    </row>
    <row r="131" spans="1:10" hidden="1" x14ac:dyDescent="0.25">
      <c r="A131" t="s">
        <v>129</v>
      </c>
      <c r="B131" t="s">
        <v>599</v>
      </c>
      <c r="C131" t="str">
        <f>IF(RIGHT(B131,5)="22,22","VIC20","")</f>
        <v/>
      </c>
      <c r="D131">
        <f>SEARCH(",",B131)</f>
        <v>3</v>
      </c>
      <c r="E131">
        <f>SEARCH(",",B131,D131+1)</f>
        <v>5</v>
      </c>
      <c r="F131">
        <f>SEARCH(",",B131,E131+1)</f>
        <v>9</v>
      </c>
      <c r="G131">
        <f>VALUE(MID(B131,1,D131-1))</f>
        <v>24</v>
      </c>
      <c r="H131">
        <f>VALUE(MID(B131,D131+1,E131-D131-1))</f>
        <v>0</v>
      </c>
      <c r="I131">
        <f>VALUE(MID(B131,E131+1,F131-E131-1))</f>
        <v>255</v>
      </c>
      <c r="J131">
        <f>VALUE(MID(B131,F131+1,4))</f>
        <v>0</v>
      </c>
    </row>
    <row r="132" spans="1:10" hidden="1" x14ac:dyDescent="0.25">
      <c r="A132" t="s">
        <v>130</v>
      </c>
      <c r="B132" t="s">
        <v>546</v>
      </c>
      <c r="C132" t="str">
        <f>IF(RIGHT(B132,5)="22,22","VIC20","")</f>
        <v/>
      </c>
      <c r="D132">
        <f>SEARCH(",",B132)</f>
        <v>2</v>
      </c>
      <c r="E132">
        <f>SEARCH(",",B132,D132+1)</f>
        <v>4</v>
      </c>
      <c r="F132">
        <f>SEARCH(",",B132,E132+1)</f>
        <v>7</v>
      </c>
      <c r="G132">
        <f>VALUE(MID(B132,1,D132-1))</f>
        <v>1</v>
      </c>
      <c r="H132">
        <f>VALUE(MID(B132,D132+1,E132-D132-1))</f>
        <v>0</v>
      </c>
      <c r="I132">
        <f>VALUE(MID(B132,E132+1,F132-E132-1))</f>
        <v>23</v>
      </c>
      <c r="J132">
        <f>VALUE(MID(B132,F132+1,4))</f>
        <v>32</v>
      </c>
    </row>
    <row r="133" spans="1:10" hidden="1" x14ac:dyDescent="0.25">
      <c r="A133" t="s">
        <v>131</v>
      </c>
      <c r="B133" t="s">
        <v>600</v>
      </c>
      <c r="C133" t="str">
        <f>IF(RIGHT(B133,5)="22,22","VIC20","")</f>
        <v/>
      </c>
      <c r="D133">
        <f>SEARCH(",",B133)</f>
        <v>3</v>
      </c>
      <c r="E133">
        <f>SEARCH(",",B133,D133+1)</f>
        <v>5</v>
      </c>
      <c r="F133">
        <f>SEARCH(",",B133,E133+1)</f>
        <v>8</v>
      </c>
      <c r="G133">
        <f>VALUE(MID(B133,1,D133-1))</f>
        <v>79</v>
      </c>
      <c r="H133">
        <f>VALUE(MID(B133,D133+1,E133-D133-1))</f>
        <v>5</v>
      </c>
      <c r="I133">
        <f>VALUE(MID(B133,E133+1,F133-E133-1))</f>
        <v>77</v>
      </c>
      <c r="J133">
        <f>VALUE(MID(B133,F133+1,4))</f>
        <v>5</v>
      </c>
    </row>
    <row r="134" spans="1:10" x14ac:dyDescent="0.25">
      <c r="A134" t="s">
        <v>88</v>
      </c>
      <c r="B134" t="s">
        <v>552</v>
      </c>
      <c r="C134" t="s">
        <v>544</v>
      </c>
      <c r="D134">
        <f>SEARCH(",",B134)</f>
        <v>2</v>
      </c>
      <c r="E134">
        <f>SEARCH(",",B134,D134+1)</f>
        <v>4</v>
      </c>
      <c r="F134">
        <f>SEARCH(",",B134,E134+1)</f>
        <v>7</v>
      </c>
      <c r="G134">
        <f>VALUE(MID(B134,1,D134-1))</f>
        <v>1</v>
      </c>
      <c r="H134">
        <f>VALUE(MID(B134,D134+1,E134-D134-1))</f>
        <v>1</v>
      </c>
      <c r="I134">
        <f>VALUE(MID(B134,E134+1,F134-E134-1))</f>
        <v>22</v>
      </c>
      <c r="J134">
        <f>VALUE(MID(B134,F134+1,4))</f>
        <v>22</v>
      </c>
    </row>
    <row r="135" spans="1:10" x14ac:dyDescent="0.25">
      <c r="A135" t="s">
        <v>89</v>
      </c>
      <c r="B135" t="s">
        <v>585</v>
      </c>
      <c r="C135" t="s">
        <v>544</v>
      </c>
      <c r="D135">
        <f>SEARCH(",",B135)</f>
        <v>2</v>
      </c>
      <c r="E135">
        <f>SEARCH(",",B135,D135+1)</f>
        <v>4</v>
      </c>
      <c r="F135">
        <f>SEARCH(",",B135,E135+1)</f>
        <v>7</v>
      </c>
      <c r="G135">
        <f>VALUE(MID(B135,1,D135-1))</f>
        <v>6</v>
      </c>
      <c r="H135">
        <f>VALUE(MID(B135,D135+1,E135-D135-1))</f>
        <v>5</v>
      </c>
      <c r="I135">
        <f>VALUE(MID(B135,E135+1,F135-E135-1))</f>
        <v>10</v>
      </c>
      <c r="J135">
        <f>VALUE(MID(B135,F135+1,4))</f>
        <v>22</v>
      </c>
    </row>
    <row r="136" spans="1:10" hidden="1" x14ac:dyDescent="0.25">
      <c r="A136" t="s">
        <v>134</v>
      </c>
      <c r="B136" t="s">
        <v>601</v>
      </c>
      <c r="C136" t="str">
        <f>IF(RIGHT(B136,5)="22,22","VIC20","")</f>
        <v/>
      </c>
      <c r="D136">
        <f>SEARCH(",",B136)</f>
        <v>2</v>
      </c>
      <c r="E136">
        <f>SEARCH(",",B136,D136+1)</f>
        <v>4</v>
      </c>
      <c r="F136">
        <f>SEARCH(",",B136,E136+1)</f>
        <v>7</v>
      </c>
      <c r="G136">
        <f>VALUE(MID(B136,1,D136-1))</f>
        <v>1</v>
      </c>
      <c r="H136">
        <f>VALUE(MID(B136,D136+1,E136-D136-1))</f>
        <v>2</v>
      </c>
      <c r="I136">
        <f>VALUE(MID(B136,E136+1,F136-E136-1))</f>
        <v>18</v>
      </c>
      <c r="J136">
        <f>VALUE(MID(B136,F136+1,4))</f>
        <v>28</v>
      </c>
    </row>
    <row r="137" spans="1:10" hidden="1" x14ac:dyDescent="0.25">
      <c r="A137" t="s">
        <v>135</v>
      </c>
      <c r="B137" t="s">
        <v>548</v>
      </c>
      <c r="C137" t="str">
        <f>IF(RIGHT(B137,5)="22,22","VIC20","")</f>
        <v/>
      </c>
      <c r="D137">
        <f>SEARCH(",",B137)</f>
        <v>2</v>
      </c>
      <c r="E137">
        <f>SEARCH(",",B137,D137+1)</f>
        <v>4</v>
      </c>
      <c r="F137">
        <f>SEARCH(",",B137,E137+1)</f>
        <v>7</v>
      </c>
      <c r="G137">
        <f>VALUE(MID(B137,1,D137-1))</f>
        <v>1</v>
      </c>
      <c r="H137">
        <f>VALUE(MID(B137,D137+1,E137-D137-1))</f>
        <v>1</v>
      </c>
      <c r="I137">
        <f>VALUE(MID(B137,E137+1,F137-E137-1))</f>
        <v>22</v>
      </c>
      <c r="J137">
        <f>VALUE(MID(B137,F137+1,4))</f>
        <v>30</v>
      </c>
    </row>
    <row r="138" spans="1:10" x14ac:dyDescent="0.25">
      <c r="A138" t="s">
        <v>96</v>
      </c>
      <c r="B138" t="s">
        <v>552</v>
      </c>
      <c r="C138" t="s">
        <v>544</v>
      </c>
      <c r="D138">
        <f>SEARCH(",",B138)</f>
        <v>2</v>
      </c>
      <c r="E138">
        <f>SEARCH(",",B138,D138+1)</f>
        <v>4</v>
      </c>
      <c r="F138">
        <f>SEARCH(",",B138,E138+1)</f>
        <v>7</v>
      </c>
      <c r="G138">
        <f>VALUE(MID(B138,1,D138-1))</f>
        <v>1</v>
      </c>
      <c r="H138">
        <f>VALUE(MID(B138,D138+1,E138-D138-1))</f>
        <v>1</v>
      </c>
      <c r="I138">
        <f>VALUE(MID(B138,E138+1,F138-E138-1))</f>
        <v>22</v>
      </c>
      <c r="J138">
        <f>VALUE(MID(B138,F138+1,4))</f>
        <v>22</v>
      </c>
    </row>
    <row r="139" spans="1:10" x14ac:dyDescent="0.25">
      <c r="A139" t="s">
        <v>97</v>
      </c>
      <c r="B139" t="s">
        <v>552</v>
      </c>
      <c r="C139" t="s">
        <v>544</v>
      </c>
      <c r="D139">
        <f>SEARCH(",",B139)</f>
        <v>2</v>
      </c>
      <c r="E139">
        <f>SEARCH(",",B139,D139+1)</f>
        <v>4</v>
      </c>
      <c r="F139">
        <f>SEARCH(",",B139,E139+1)</f>
        <v>7</v>
      </c>
      <c r="G139">
        <f>VALUE(MID(B139,1,D139-1))</f>
        <v>1</v>
      </c>
      <c r="H139">
        <f>VALUE(MID(B139,D139+1,E139-D139-1))</f>
        <v>1</v>
      </c>
      <c r="I139">
        <f>VALUE(MID(B139,E139+1,F139-E139-1))</f>
        <v>22</v>
      </c>
      <c r="J139">
        <f>VALUE(MID(B139,F139+1,4))</f>
        <v>22</v>
      </c>
    </row>
    <row r="140" spans="1:10" hidden="1" x14ac:dyDescent="0.25">
      <c r="A140" t="s">
        <v>138</v>
      </c>
      <c r="B140" t="s">
        <v>602</v>
      </c>
      <c r="C140" t="str">
        <f>IF(RIGHT(B140,5)="22,22","VIC20","")</f>
        <v/>
      </c>
      <c r="D140">
        <f>SEARCH(",",B140)</f>
        <v>2</v>
      </c>
      <c r="E140">
        <f>SEARCH(",",B140,D140+1)</f>
        <v>4</v>
      </c>
      <c r="F140">
        <f>SEARCH(",",B140,E140+1)</f>
        <v>7</v>
      </c>
      <c r="G140">
        <f>VALUE(MID(B140,1,D140-1))</f>
        <v>2</v>
      </c>
      <c r="H140">
        <f>VALUE(MID(B140,D140+1,E140-D140-1))</f>
        <v>1</v>
      </c>
      <c r="I140">
        <f>VALUE(MID(B140,E140+1,F140-E140-1))</f>
        <v>20</v>
      </c>
      <c r="J140">
        <f>VALUE(MID(B140,F140+1,4))</f>
        <v>30</v>
      </c>
    </row>
    <row r="141" spans="1:10" hidden="1" x14ac:dyDescent="0.25">
      <c r="A141" t="s">
        <v>139</v>
      </c>
      <c r="B141" t="s">
        <v>603</v>
      </c>
      <c r="C141" t="str">
        <f>IF(RIGHT(B141,5)="22,22","VIC20","")</f>
        <v/>
      </c>
      <c r="D141">
        <f>SEARCH(",",B141)</f>
        <v>2</v>
      </c>
      <c r="E141">
        <f>SEARCH(",",B141,D141+1)</f>
        <v>4</v>
      </c>
      <c r="F141">
        <f>SEARCH(",",B141,E141+1)</f>
        <v>7</v>
      </c>
      <c r="G141">
        <f>VALUE(MID(B141,1,D141-1))</f>
        <v>0</v>
      </c>
      <c r="H141">
        <f>VALUE(MID(B141,D141+1,E141-D141-1))</f>
        <v>0</v>
      </c>
      <c r="I141">
        <f>VALUE(MID(B141,E141+1,F141-E141-1))</f>
        <v>21</v>
      </c>
      <c r="J141">
        <f>VALUE(MID(B141,F141+1,4))</f>
        <v>30</v>
      </c>
    </row>
    <row r="142" spans="1:10" x14ac:dyDescent="0.25">
      <c r="A142" t="s">
        <v>137</v>
      </c>
      <c r="B142" t="s">
        <v>552</v>
      </c>
      <c r="C142" t="s">
        <v>544</v>
      </c>
      <c r="D142">
        <f>SEARCH(",",B142)</f>
        <v>2</v>
      </c>
      <c r="E142">
        <f>SEARCH(",",B142,D142+1)</f>
        <v>4</v>
      </c>
      <c r="F142">
        <f>SEARCH(",",B142,E142+1)</f>
        <v>7</v>
      </c>
      <c r="G142">
        <f>VALUE(MID(B142,1,D142-1))</f>
        <v>1</v>
      </c>
      <c r="H142">
        <f>VALUE(MID(B142,D142+1,E142-D142-1))</f>
        <v>1</v>
      </c>
      <c r="I142">
        <f>VALUE(MID(B142,E142+1,F142-E142-1))</f>
        <v>22</v>
      </c>
      <c r="J142">
        <f>VALUE(MID(B142,F142+1,4))</f>
        <v>22</v>
      </c>
    </row>
    <row r="143" spans="1:10" hidden="1" x14ac:dyDescent="0.25">
      <c r="A143" t="s">
        <v>141</v>
      </c>
      <c r="B143" t="s">
        <v>604</v>
      </c>
      <c r="C143" t="str">
        <f>IF(RIGHT(B143,5)="22,22","VIC20","")</f>
        <v/>
      </c>
      <c r="D143">
        <f>SEARCH(",",B143)</f>
        <v>2</v>
      </c>
      <c r="E143">
        <f>SEARCH(",",B143,D143+1)</f>
        <v>4</v>
      </c>
      <c r="F143">
        <f>SEARCH(",",B143,E143+1)</f>
        <v>7</v>
      </c>
      <c r="G143">
        <f>VALUE(MID(B143,1,D143-1))</f>
        <v>1</v>
      </c>
      <c r="H143">
        <f>VALUE(MID(B143,D143+1,E143-D143-1))</f>
        <v>0</v>
      </c>
      <c r="I143">
        <f>VALUE(MID(B143,E143+1,F143-E143-1))</f>
        <v>22</v>
      </c>
      <c r="J143">
        <f>VALUE(MID(B143,F143+1,4))</f>
        <v>24</v>
      </c>
    </row>
    <row r="144" spans="1:10" hidden="1" x14ac:dyDescent="0.25">
      <c r="A144" t="s">
        <v>142</v>
      </c>
      <c r="B144" t="s">
        <v>588</v>
      </c>
      <c r="C144" t="str">
        <f>IF(RIGHT(B144,5)="22,22","VIC20","")</f>
        <v/>
      </c>
      <c r="D144">
        <f>SEARCH(",",B144)</f>
        <v>2</v>
      </c>
      <c r="E144">
        <f>SEARCH(",",B144,D144+1)</f>
        <v>4</v>
      </c>
      <c r="F144">
        <f>SEARCH(",",B144,E144+1)</f>
        <v>7</v>
      </c>
      <c r="G144">
        <f>VALUE(MID(B144,1,D144-1))</f>
        <v>1</v>
      </c>
      <c r="H144">
        <f>VALUE(MID(B144,D144+1,E144-D144-1))</f>
        <v>3</v>
      </c>
      <c r="I144">
        <f>VALUE(MID(B144,E144+1,F144-E144-1))</f>
        <v>22</v>
      </c>
      <c r="J144">
        <f>VALUE(MID(B144,F144+1,4))</f>
        <v>25</v>
      </c>
    </row>
    <row r="145" spans="1:10" x14ac:dyDescent="0.25">
      <c r="A145" t="s">
        <v>305</v>
      </c>
      <c r="B145" t="s">
        <v>552</v>
      </c>
      <c r="C145" t="s">
        <v>544</v>
      </c>
      <c r="D145">
        <f>SEARCH(",",B145)</f>
        <v>2</v>
      </c>
      <c r="E145">
        <f>SEARCH(",",B145,D145+1)</f>
        <v>4</v>
      </c>
      <c r="F145">
        <f>SEARCH(",",B145,E145+1)</f>
        <v>7</v>
      </c>
      <c r="G145">
        <f>VALUE(MID(B145,1,D145-1))</f>
        <v>1</v>
      </c>
      <c r="H145">
        <f>VALUE(MID(B145,D145+1,E145-D145-1))</f>
        <v>1</v>
      </c>
      <c r="I145">
        <f>VALUE(MID(B145,E145+1,F145-E145-1))</f>
        <v>22</v>
      </c>
      <c r="J145">
        <f>VALUE(MID(B145,F145+1,4))</f>
        <v>22</v>
      </c>
    </row>
    <row r="146" spans="1:10" hidden="1" x14ac:dyDescent="0.25">
      <c r="A146" t="s">
        <v>144</v>
      </c>
      <c r="B146" t="s">
        <v>547</v>
      </c>
      <c r="C146" t="str">
        <f>IF(RIGHT(B146,5)="22,22","VIC20","")</f>
        <v/>
      </c>
      <c r="D146">
        <f>SEARCH(",",B146)</f>
        <v>2</v>
      </c>
      <c r="E146">
        <f>SEARCH(",",B146,D146+1)</f>
        <v>4</v>
      </c>
      <c r="F146">
        <f>SEARCH(",",B146,E146+1)</f>
        <v>7</v>
      </c>
      <c r="G146">
        <f>VALUE(MID(B146,1,D146-1))</f>
        <v>1</v>
      </c>
      <c r="H146">
        <f>VALUE(MID(B146,D146+1,E146-D146-1))</f>
        <v>1</v>
      </c>
      <c r="I146">
        <f>VALUE(MID(B146,E146+1,F146-E146-1))</f>
        <v>18</v>
      </c>
      <c r="J146">
        <f>VALUE(MID(B146,F146+1,4))</f>
        <v>30</v>
      </c>
    </row>
    <row r="147" spans="1:10" hidden="1" x14ac:dyDescent="0.25">
      <c r="A147" t="s">
        <v>145</v>
      </c>
      <c r="B147" t="s">
        <v>605</v>
      </c>
      <c r="C147" t="str">
        <f>IF(RIGHT(B147,5)="22,22","VIC20","")</f>
        <v/>
      </c>
      <c r="D147">
        <f>SEARCH(",",B147)</f>
        <v>2</v>
      </c>
      <c r="E147">
        <f>SEARCH(",",B147,D147+1)</f>
        <v>4</v>
      </c>
      <c r="F147">
        <f>SEARCH(",",B147,E147+1)</f>
        <v>7</v>
      </c>
      <c r="G147">
        <f>VALUE(MID(B147,1,D147-1))</f>
        <v>0</v>
      </c>
      <c r="H147">
        <f>VALUE(MID(B147,D147+1,E147-D147-1))</f>
        <v>2</v>
      </c>
      <c r="I147">
        <f>VALUE(MID(B147,E147+1,F147-E147-1))</f>
        <v>20</v>
      </c>
      <c r="J147">
        <f>VALUE(MID(B147,F147+1,4))</f>
        <v>28</v>
      </c>
    </row>
    <row r="148" spans="1:10" hidden="1" x14ac:dyDescent="0.25">
      <c r="A148" t="s">
        <v>146</v>
      </c>
      <c r="B148" t="s">
        <v>605</v>
      </c>
      <c r="C148" t="str">
        <f>IF(RIGHT(B148,5)="22,22","VIC20","")</f>
        <v/>
      </c>
      <c r="D148">
        <f>SEARCH(",",B148)</f>
        <v>2</v>
      </c>
      <c r="E148">
        <f>SEARCH(",",B148,D148+1)</f>
        <v>4</v>
      </c>
      <c r="F148">
        <f>SEARCH(",",B148,E148+1)</f>
        <v>7</v>
      </c>
      <c r="G148">
        <f>VALUE(MID(B148,1,D148-1))</f>
        <v>0</v>
      </c>
      <c r="H148">
        <f>VALUE(MID(B148,D148+1,E148-D148-1))</f>
        <v>2</v>
      </c>
      <c r="I148">
        <f>VALUE(MID(B148,E148+1,F148-E148-1))</f>
        <v>20</v>
      </c>
      <c r="J148">
        <f>VALUE(MID(B148,F148+1,4))</f>
        <v>28</v>
      </c>
    </row>
    <row r="149" spans="1:10" hidden="1" x14ac:dyDescent="0.25">
      <c r="A149" t="s">
        <v>147</v>
      </c>
      <c r="B149" t="s">
        <v>606</v>
      </c>
      <c r="C149" t="str">
        <f>IF(RIGHT(B149,5)="22,22","VIC20","")</f>
        <v/>
      </c>
      <c r="D149">
        <f>SEARCH(",",B149)</f>
        <v>2</v>
      </c>
      <c r="E149">
        <f>SEARCH(",",B149,D149+1)</f>
        <v>4</v>
      </c>
      <c r="F149">
        <f>SEARCH(",",B149,E149+1)</f>
        <v>7</v>
      </c>
      <c r="G149">
        <f>VALUE(MID(B149,1,D149-1))</f>
        <v>2</v>
      </c>
      <c r="H149">
        <f>VALUE(MID(B149,D149+1,E149-D149-1))</f>
        <v>2</v>
      </c>
      <c r="I149">
        <f>VALUE(MID(B149,E149+1,F149-E149-1))</f>
        <v>20</v>
      </c>
      <c r="J149">
        <f>VALUE(MID(B149,F149+1,4))</f>
        <v>28</v>
      </c>
    </row>
    <row r="150" spans="1:10" hidden="1" x14ac:dyDescent="0.25">
      <c r="A150" t="s">
        <v>148</v>
      </c>
      <c r="B150" t="s">
        <v>548</v>
      </c>
      <c r="C150" t="str">
        <f>IF(RIGHT(B150,5)="22,22","VIC20","")</f>
        <v/>
      </c>
      <c r="D150">
        <f>SEARCH(",",B150)</f>
        <v>2</v>
      </c>
      <c r="E150">
        <f>SEARCH(",",B150,D150+1)</f>
        <v>4</v>
      </c>
      <c r="F150">
        <f>SEARCH(",",B150,E150+1)</f>
        <v>7</v>
      </c>
      <c r="G150">
        <f>VALUE(MID(B150,1,D150-1))</f>
        <v>1</v>
      </c>
      <c r="H150">
        <f>VALUE(MID(B150,D150+1,E150-D150-1))</f>
        <v>1</v>
      </c>
      <c r="I150">
        <f>VALUE(MID(B150,E150+1,F150-E150-1))</f>
        <v>22</v>
      </c>
      <c r="J150">
        <f>VALUE(MID(B150,F150+1,4))</f>
        <v>30</v>
      </c>
    </row>
    <row r="151" spans="1:10" hidden="1" x14ac:dyDescent="0.25">
      <c r="A151" t="s">
        <v>149</v>
      </c>
      <c r="B151" t="s">
        <v>607</v>
      </c>
      <c r="C151" t="str">
        <f>IF(RIGHT(B151,5)="22,22","VIC20","")</f>
        <v/>
      </c>
      <c r="D151">
        <f>SEARCH(",",B151)</f>
        <v>2</v>
      </c>
      <c r="E151">
        <f>SEARCH(",",B151,D151+1)</f>
        <v>4</v>
      </c>
      <c r="F151">
        <f>SEARCH(",",B151,E151+1)</f>
        <v>7</v>
      </c>
      <c r="G151">
        <f>VALUE(MID(B151,1,D151-1))</f>
        <v>0</v>
      </c>
      <c r="H151">
        <f>VALUE(MID(B151,D151+1,E151-D151-1))</f>
        <v>0</v>
      </c>
      <c r="I151">
        <f>VALUE(MID(B151,E151+1,F151-E151-1))</f>
        <v>23</v>
      </c>
      <c r="J151">
        <f>VALUE(MID(B151,F151+1,4))</f>
        <v>22</v>
      </c>
    </row>
    <row r="152" spans="1:10" hidden="1" x14ac:dyDescent="0.25">
      <c r="A152" t="s">
        <v>150</v>
      </c>
      <c r="B152" t="s">
        <v>607</v>
      </c>
      <c r="C152" t="str">
        <f>IF(RIGHT(B152,5)="22,22","VIC20","")</f>
        <v/>
      </c>
      <c r="D152">
        <f>SEARCH(",",B152)</f>
        <v>2</v>
      </c>
      <c r="E152">
        <f>SEARCH(",",B152,D152+1)</f>
        <v>4</v>
      </c>
      <c r="F152">
        <f>SEARCH(",",B152,E152+1)</f>
        <v>7</v>
      </c>
      <c r="G152">
        <f>VALUE(MID(B152,1,D152-1))</f>
        <v>0</v>
      </c>
      <c r="H152">
        <f>VALUE(MID(B152,D152+1,E152-D152-1))</f>
        <v>0</v>
      </c>
      <c r="I152">
        <f>VALUE(MID(B152,E152+1,F152-E152-1))</f>
        <v>23</v>
      </c>
      <c r="J152">
        <f>VALUE(MID(B152,F152+1,4))</f>
        <v>22</v>
      </c>
    </row>
    <row r="153" spans="1:10" hidden="1" x14ac:dyDescent="0.25">
      <c r="A153" t="s">
        <v>151</v>
      </c>
      <c r="B153" t="s">
        <v>607</v>
      </c>
      <c r="C153" t="str">
        <f>IF(RIGHT(B153,5)="22,22","VIC20","")</f>
        <v/>
      </c>
      <c r="D153">
        <f>SEARCH(",",B153)</f>
        <v>2</v>
      </c>
      <c r="E153">
        <f>SEARCH(",",B153,D153+1)</f>
        <v>4</v>
      </c>
      <c r="F153">
        <f>SEARCH(",",B153,E153+1)</f>
        <v>7</v>
      </c>
      <c r="G153">
        <f>VALUE(MID(B153,1,D153-1))</f>
        <v>0</v>
      </c>
      <c r="H153">
        <f>VALUE(MID(B153,D153+1,E153-D153-1))</f>
        <v>0</v>
      </c>
      <c r="I153">
        <f>VALUE(MID(B153,E153+1,F153-E153-1))</f>
        <v>23</v>
      </c>
      <c r="J153">
        <f>VALUE(MID(B153,F153+1,4))</f>
        <v>22</v>
      </c>
    </row>
    <row r="154" spans="1:10" hidden="1" x14ac:dyDescent="0.25">
      <c r="A154" t="s">
        <v>152</v>
      </c>
      <c r="B154" t="s">
        <v>607</v>
      </c>
      <c r="C154" t="str">
        <f>IF(RIGHT(B154,5)="22,22","VIC20","")</f>
        <v/>
      </c>
      <c r="D154">
        <f>SEARCH(",",B154)</f>
        <v>2</v>
      </c>
      <c r="E154">
        <f>SEARCH(",",B154,D154+1)</f>
        <v>4</v>
      </c>
      <c r="F154">
        <f>SEARCH(",",B154,E154+1)</f>
        <v>7</v>
      </c>
      <c r="G154">
        <f>VALUE(MID(B154,1,D154-1))</f>
        <v>0</v>
      </c>
      <c r="H154">
        <f>VALUE(MID(B154,D154+1,E154-D154-1))</f>
        <v>0</v>
      </c>
      <c r="I154">
        <f>VALUE(MID(B154,E154+1,F154-E154-1))</f>
        <v>23</v>
      </c>
      <c r="J154">
        <f>VALUE(MID(B154,F154+1,4))</f>
        <v>22</v>
      </c>
    </row>
    <row r="155" spans="1:10" hidden="1" x14ac:dyDescent="0.25">
      <c r="A155" t="s">
        <v>153</v>
      </c>
      <c r="B155" t="s">
        <v>607</v>
      </c>
      <c r="C155" t="str">
        <f>IF(RIGHT(B155,5)="22,22","VIC20","")</f>
        <v/>
      </c>
      <c r="D155">
        <f>SEARCH(",",B155)</f>
        <v>2</v>
      </c>
      <c r="E155">
        <f>SEARCH(",",B155,D155+1)</f>
        <v>4</v>
      </c>
      <c r="F155">
        <f>SEARCH(",",B155,E155+1)</f>
        <v>7</v>
      </c>
      <c r="G155">
        <f>VALUE(MID(B155,1,D155-1))</f>
        <v>0</v>
      </c>
      <c r="H155">
        <f>VALUE(MID(B155,D155+1,E155-D155-1))</f>
        <v>0</v>
      </c>
      <c r="I155">
        <f>VALUE(MID(B155,E155+1,F155-E155-1))</f>
        <v>23</v>
      </c>
      <c r="J155">
        <f>VALUE(MID(B155,F155+1,4))</f>
        <v>22</v>
      </c>
    </row>
    <row r="156" spans="1:10" hidden="1" x14ac:dyDescent="0.25">
      <c r="A156" t="s">
        <v>154</v>
      </c>
      <c r="B156" t="s">
        <v>548</v>
      </c>
      <c r="C156" t="str">
        <f>IF(RIGHT(B156,5)="22,22","VIC20","")</f>
        <v/>
      </c>
      <c r="D156">
        <f>SEARCH(",",B156)</f>
        <v>2</v>
      </c>
      <c r="E156">
        <f>SEARCH(",",B156,D156+1)</f>
        <v>4</v>
      </c>
      <c r="F156">
        <f>SEARCH(",",B156,E156+1)</f>
        <v>7</v>
      </c>
      <c r="G156">
        <f>VALUE(MID(B156,1,D156-1))</f>
        <v>1</v>
      </c>
      <c r="H156">
        <f>VALUE(MID(B156,D156+1,E156-D156-1))</f>
        <v>1</v>
      </c>
      <c r="I156">
        <f>VALUE(MID(B156,E156+1,F156-E156-1))</f>
        <v>22</v>
      </c>
      <c r="J156">
        <f>VALUE(MID(B156,F156+1,4))</f>
        <v>30</v>
      </c>
    </row>
    <row r="157" spans="1:10" hidden="1" x14ac:dyDescent="0.25">
      <c r="A157" t="s">
        <v>155</v>
      </c>
      <c r="B157" t="s">
        <v>548</v>
      </c>
      <c r="C157" t="str">
        <f>IF(RIGHT(B157,5)="22,22","VIC20","")</f>
        <v/>
      </c>
      <c r="D157">
        <f>SEARCH(",",B157)</f>
        <v>2</v>
      </c>
      <c r="E157">
        <f>SEARCH(",",B157,D157+1)</f>
        <v>4</v>
      </c>
      <c r="F157">
        <f>SEARCH(",",B157,E157+1)</f>
        <v>7</v>
      </c>
      <c r="G157">
        <f>VALUE(MID(B157,1,D157-1))</f>
        <v>1</v>
      </c>
      <c r="H157">
        <f>VALUE(MID(B157,D157+1,E157-D157-1))</f>
        <v>1</v>
      </c>
      <c r="I157">
        <f>VALUE(MID(B157,E157+1,F157-E157-1))</f>
        <v>22</v>
      </c>
      <c r="J157">
        <f>VALUE(MID(B157,F157+1,4))</f>
        <v>30</v>
      </c>
    </row>
    <row r="158" spans="1:10" hidden="1" x14ac:dyDescent="0.25">
      <c r="A158" t="s">
        <v>156</v>
      </c>
      <c r="B158" t="s">
        <v>546</v>
      </c>
      <c r="C158" t="str">
        <f>IF(RIGHT(B158,5)="22,22","VIC20","")</f>
        <v/>
      </c>
      <c r="D158">
        <f>SEARCH(",",B158)</f>
        <v>2</v>
      </c>
      <c r="E158">
        <f>SEARCH(",",B158,D158+1)</f>
        <v>4</v>
      </c>
      <c r="F158">
        <f>SEARCH(",",B158,E158+1)</f>
        <v>7</v>
      </c>
      <c r="G158">
        <f>VALUE(MID(B158,1,D158-1))</f>
        <v>1</v>
      </c>
      <c r="H158">
        <f>VALUE(MID(B158,D158+1,E158-D158-1))</f>
        <v>0</v>
      </c>
      <c r="I158">
        <f>VALUE(MID(B158,E158+1,F158-E158-1))</f>
        <v>23</v>
      </c>
      <c r="J158">
        <f>VALUE(MID(B158,F158+1,4))</f>
        <v>32</v>
      </c>
    </row>
    <row r="159" spans="1:10" hidden="1" x14ac:dyDescent="0.25">
      <c r="A159" t="s">
        <v>157</v>
      </c>
      <c r="B159" t="s">
        <v>608</v>
      </c>
      <c r="C159" t="str">
        <f>IF(RIGHT(B159,5)="22,22","VIC20","")</f>
        <v/>
      </c>
      <c r="D159">
        <f>SEARCH(",",B159)</f>
        <v>2</v>
      </c>
      <c r="E159">
        <f>SEARCH(",",B159,D159+1)</f>
        <v>4</v>
      </c>
      <c r="F159">
        <f>SEARCH(",",B159,E159+1)</f>
        <v>7</v>
      </c>
      <c r="G159">
        <f>VALUE(MID(B159,1,D159-1))</f>
        <v>5</v>
      </c>
      <c r="H159">
        <f>VALUE(MID(B159,D159+1,E159-D159-1))</f>
        <v>1</v>
      </c>
      <c r="I159">
        <f>VALUE(MID(B159,E159+1,F159-E159-1))</f>
        <v>18</v>
      </c>
      <c r="J159">
        <f>VALUE(MID(B159,F159+1,4))</f>
        <v>30</v>
      </c>
    </row>
    <row r="160" spans="1:10" hidden="1" x14ac:dyDescent="0.25">
      <c r="A160" t="s">
        <v>158</v>
      </c>
      <c r="B160" t="s">
        <v>548</v>
      </c>
      <c r="C160" t="str">
        <f>IF(RIGHT(B160,5)="22,22","VIC20","")</f>
        <v/>
      </c>
      <c r="D160">
        <f>SEARCH(",",B160)</f>
        <v>2</v>
      </c>
      <c r="E160">
        <f>SEARCH(",",B160,D160+1)</f>
        <v>4</v>
      </c>
      <c r="F160">
        <f>SEARCH(",",B160,E160+1)</f>
        <v>7</v>
      </c>
      <c r="G160">
        <f>VALUE(MID(B160,1,D160-1))</f>
        <v>1</v>
      </c>
      <c r="H160">
        <f>VALUE(MID(B160,D160+1,E160-D160-1))</f>
        <v>1</v>
      </c>
      <c r="I160">
        <f>VALUE(MID(B160,E160+1,F160-E160-1))</f>
        <v>22</v>
      </c>
      <c r="J160">
        <f>VALUE(MID(B160,F160+1,4))</f>
        <v>30</v>
      </c>
    </row>
    <row r="161" spans="1:10" x14ac:dyDescent="0.25">
      <c r="A161" t="s">
        <v>463</v>
      </c>
      <c r="B161" t="s">
        <v>552</v>
      </c>
      <c r="C161" t="s">
        <v>544</v>
      </c>
      <c r="D161">
        <f>SEARCH(",",B161)</f>
        <v>2</v>
      </c>
      <c r="E161">
        <f>SEARCH(",",B161,D161+1)</f>
        <v>4</v>
      </c>
      <c r="F161">
        <f>SEARCH(",",B161,E161+1)</f>
        <v>7</v>
      </c>
      <c r="G161">
        <f>VALUE(MID(B161,1,D161-1))</f>
        <v>1</v>
      </c>
      <c r="H161">
        <f>VALUE(MID(B161,D161+1,E161-D161-1))</f>
        <v>1</v>
      </c>
      <c r="I161">
        <f>VALUE(MID(B161,E161+1,F161-E161-1))</f>
        <v>22</v>
      </c>
      <c r="J161">
        <f>VALUE(MID(B161,F161+1,4))</f>
        <v>22</v>
      </c>
    </row>
    <row r="162" spans="1:10" hidden="1" x14ac:dyDescent="0.25">
      <c r="A162" t="s">
        <v>160</v>
      </c>
      <c r="B162" t="s">
        <v>547</v>
      </c>
      <c r="C162" t="str">
        <f>IF(RIGHT(B162,5)="22,22","VIC20","")</f>
        <v/>
      </c>
      <c r="D162">
        <f>SEARCH(",",B162)</f>
        <v>2</v>
      </c>
      <c r="E162">
        <f>SEARCH(",",B162,D162+1)</f>
        <v>4</v>
      </c>
      <c r="F162">
        <f>SEARCH(",",B162,E162+1)</f>
        <v>7</v>
      </c>
      <c r="G162">
        <f>VALUE(MID(B162,1,D162-1))</f>
        <v>1</v>
      </c>
      <c r="H162">
        <f>VALUE(MID(B162,D162+1,E162-D162-1))</f>
        <v>1</v>
      </c>
      <c r="I162">
        <f>VALUE(MID(B162,E162+1,F162-E162-1))</f>
        <v>18</v>
      </c>
      <c r="J162">
        <f>VALUE(MID(B162,F162+1,4))</f>
        <v>30</v>
      </c>
    </row>
    <row r="163" spans="1:10" hidden="1" x14ac:dyDescent="0.25">
      <c r="A163" t="s">
        <v>161</v>
      </c>
      <c r="B163" t="s">
        <v>609</v>
      </c>
      <c r="C163" t="str">
        <f>IF(RIGHT(B163,5)="22,22","VIC20","")</f>
        <v/>
      </c>
      <c r="D163">
        <f>SEARCH(",",B163)</f>
        <v>2</v>
      </c>
      <c r="E163">
        <f>SEARCH(",",B163,D163+1)</f>
        <v>4</v>
      </c>
      <c r="F163">
        <f>SEARCH(",",B163,E163+1)</f>
        <v>7</v>
      </c>
      <c r="G163">
        <f>VALUE(MID(B163,1,D163-1))</f>
        <v>3</v>
      </c>
      <c r="H163">
        <f>VALUE(MID(B163,D163+1,E163-D163-1))</f>
        <v>1</v>
      </c>
      <c r="I163">
        <f>VALUE(MID(B163,E163+1,F163-E163-1))</f>
        <v>19</v>
      </c>
      <c r="J163">
        <f>VALUE(MID(B163,F163+1,4))</f>
        <v>30</v>
      </c>
    </row>
    <row r="164" spans="1:10" hidden="1" x14ac:dyDescent="0.25">
      <c r="A164" t="s">
        <v>162</v>
      </c>
      <c r="B164" t="s">
        <v>610</v>
      </c>
      <c r="C164" t="str">
        <f>IF(RIGHT(B164,5)="22,22","VIC20","")</f>
        <v/>
      </c>
      <c r="D164">
        <f>SEARCH(",",B164)</f>
        <v>2</v>
      </c>
      <c r="E164">
        <f>SEARCH(",",B164,D164+1)</f>
        <v>4</v>
      </c>
      <c r="F164">
        <f>SEARCH(",",B164,E164+1)</f>
        <v>7</v>
      </c>
      <c r="G164">
        <f>VALUE(MID(B164,1,D164-1))</f>
        <v>1</v>
      </c>
      <c r="H164">
        <f>VALUE(MID(B164,D164+1,E164-D164-1))</f>
        <v>3</v>
      </c>
      <c r="I164">
        <f>VALUE(MID(B164,E164+1,F164-E164-1))</f>
        <v>21</v>
      </c>
      <c r="J164">
        <f>VALUE(MID(B164,F164+1,4))</f>
        <v>26</v>
      </c>
    </row>
    <row r="165" spans="1:10" hidden="1" x14ac:dyDescent="0.25">
      <c r="A165" t="s">
        <v>163</v>
      </c>
      <c r="B165" t="s">
        <v>570</v>
      </c>
      <c r="C165" t="str">
        <f>IF(RIGHT(B165,5)="22,22","VIC20","")</f>
        <v/>
      </c>
      <c r="D165">
        <f>SEARCH(",",B165)</f>
        <v>2</v>
      </c>
      <c r="E165">
        <f>SEARCH(",",B165,D165+1)</f>
        <v>4</v>
      </c>
      <c r="F165">
        <f>SEARCH(",",B165,E165+1)</f>
        <v>7</v>
      </c>
      <c r="G165">
        <f>VALUE(MID(B165,1,D165-1))</f>
        <v>2</v>
      </c>
      <c r="H165">
        <f>VALUE(MID(B165,D165+1,E165-D165-1))</f>
        <v>1</v>
      </c>
      <c r="I165">
        <f>VALUE(MID(B165,E165+1,F165-E165-1))</f>
        <v>21</v>
      </c>
      <c r="J165">
        <f>VALUE(MID(B165,F165+1,4))</f>
        <v>30</v>
      </c>
    </row>
    <row r="166" spans="1:10" hidden="1" x14ac:dyDescent="0.25">
      <c r="A166" t="s">
        <v>164</v>
      </c>
      <c r="B166" t="s">
        <v>579</v>
      </c>
      <c r="C166" t="str">
        <f>IF(RIGHT(B166,5)="22,22","VIC20","")</f>
        <v/>
      </c>
      <c r="D166">
        <f>SEARCH(",",B166)</f>
        <v>2</v>
      </c>
      <c r="E166">
        <f>SEARCH(",",B166,D166+1)</f>
        <v>4</v>
      </c>
      <c r="F166">
        <f>SEARCH(",",B166,E166+1)</f>
        <v>7</v>
      </c>
      <c r="G166">
        <f>VALUE(MID(B166,1,D166-1))</f>
        <v>0</v>
      </c>
      <c r="H166">
        <f>VALUE(MID(B166,D166+1,E166-D166-1))</f>
        <v>0</v>
      </c>
      <c r="I166">
        <f>VALUE(MID(B166,E166+1,F166-E166-1))</f>
        <v>18</v>
      </c>
      <c r="J166">
        <f>VALUE(MID(B166,F166+1,4))</f>
        <v>32</v>
      </c>
    </row>
    <row r="167" spans="1:10" hidden="1" x14ac:dyDescent="0.25">
      <c r="A167" t="s">
        <v>165</v>
      </c>
      <c r="B167" t="s">
        <v>546</v>
      </c>
      <c r="C167" t="str">
        <f>IF(RIGHT(B167,5)="22,22","VIC20","")</f>
        <v/>
      </c>
      <c r="D167">
        <f>SEARCH(",",B167)</f>
        <v>2</v>
      </c>
      <c r="E167">
        <f>SEARCH(",",B167,D167+1)</f>
        <v>4</v>
      </c>
      <c r="F167">
        <f>SEARCH(",",B167,E167+1)</f>
        <v>7</v>
      </c>
      <c r="G167">
        <f>VALUE(MID(B167,1,D167-1))</f>
        <v>1</v>
      </c>
      <c r="H167">
        <f>VALUE(MID(B167,D167+1,E167-D167-1))</f>
        <v>0</v>
      </c>
      <c r="I167">
        <f>VALUE(MID(B167,E167+1,F167-E167-1))</f>
        <v>23</v>
      </c>
      <c r="J167">
        <f>VALUE(MID(B167,F167+1,4))</f>
        <v>32</v>
      </c>
    </row>
    <row r="168" spans="1:10" hidden="1" x14ac:dyDescent="0.25">
      <c r="A168" t="s">
        <v>166</v>
      </c>
      <c r="B168" t="s">
        <v>548</v>
      </c>
      <c r="C168" t="str">
        <f>IF(RIGHT(B168,5)="22,22","VIC20","")</f>
        <v/>
      </c>
      <c r="D168">
        <f>SEARCH(",",B168)</f>
        <v>2</v>
      </c>
      <c r="E168">
        <f>SEARCH(",",B168,D168+1)</f>
        <v>4</v>
      </c>
      <c r="F168">
        <f>SEARCH(",",B168,E168+1)</f>
        <v>7</v>
      </c>
      <c r="G168">
        <f>VALUE(MID(B168,1,D168-1))</f>
        <v>1</v>
      </c>
      <c r="H168">
        <f>VALUE(MID(B168,D168+1,E168-D168-1))</f>
        <v>1</v>
      </c>
      <c r="I168">
        <f>VALUE(MID(B168,E168+1,F168-E168-1))</f>
        <v>22</v>
      </c>
      <c r="J168">
        <f>VALUE(MID(B168,F168+1,4))</f>
        <v>30</v>
      </c>
    </row>
    <row r="169" spans="1:10" hidden="1" x14ac:dyDescent="0.25">
      <c r="A169" t="s">
        <v>167</v>
      </c>
      <c r="B169" t="s">
        <v>553</v>
      </c>
      <c r="C169" t="str">
        <f>IF(RIGHT(B169,5)="22,22","VIC20","")</f>
        <v/>
      </c>
      <c r="D169">
        <f>SEARCH(",",B169)</f>
        <v>2</v>
      </c>
      <c r="E169">
        <f>SEARCH(",",B169,D169+1)</f>
        <v>4</v>
      </c>
      <c r="F169">
        <f>SEARCH(",",B169,E169+1)</f>
        <v>7</v>
      </c>
      <c r="G169">
        <f>VALUE(MID(B169,1,D169-1))</f>
        <v>1</v>
      </c>
      <c r="H169">
        <f>VALUE(MID(B169,D169+1,E169-D169-1))</f>
        <v>1</v>
      </c>
      <c r="I169">
        <f>VALUE(MID(B169,E169+1,F169-E169-1))</f>
        <v>19</v>
      </c>
      <c r="J169">
        <f>VALUE(MID(B169,F169+1,4))</f>
        <v>30</v>
      </c>
    </row>
    <row r="170" spans="1:10" hidden="1" x14ac:dyDescent="0.25">
      <c r="A170" t="s">
        <v>168</v>
      </c>
      <c r="B170" t="s">
        <v>553</v>
      </c>
      <c r="C170" t="str">
        <f>IF(RIGHT(B170,5)="22,22","VIC20","")</f>
        <v/>
      </c>
      <c r="D170">
        <f>SEARCH(",",B170)</f>
        <v>2</v>
      </c>
      <c r="E170">
        <f>SEARCH(",",B170,D170+1)</f>
        <v>4</v>
      </c>
      <c r="F170">
        <f>SEARCH(",",B170,E170+1)</f>
        <v>7</v>
      </c>
      <c r="G170">
        <f>VALUE(MID(B170,1,D170-1))</f>
        <v>1</v>
      </c>
      <c r="H170">
        <f>VALUE(MID(B170,D170+1,E170-D170-1))</f>
        <v>1</v>
      </c>
      <c r="I170">
        <f>VALUE(MID(B170,E170+1,F170-E170-1))</f>
        <v>19</v>
      </c>
      <c r="J170">
        <f>VALUE(MID(B170,F170+1,4))</f>
        <v>30</v>
      </c>
    </row>
    <row r="171" spans="1:10" hidden="1" x14ac:dyDescent="0.25">
      <c r="A171" t="s">
        <v>169</v>
      </c>
      <c r="B171" t="s">
        <v>551</v>
      </c>
      <c r="C171" t="str">
        <f>IF(RIGHT(B171,5)="22,22","VIC20","")</f>
        <v/>
      </c>
      <c r="D171">
        <f>SEARCH(",",B171)</f>
        <v>2</v>
      </c>
      <c r="E171">
        <f>SEARCH(",",B171,D171+1)</f>
        <v>4</v>
      </c>
      <c r="F171">
        <f>SEARCH(",",B171,E171+1)</f>
        <v>7</v>
      </c>
      <c r="G171">
        <f>VALUE(MID(B171,1,D171-1))</f>
        <v>1</v>
      </c>
      <c r="H171">
        <f>VALUE(MID(B171,D171+1,E171-D171-1))</f>
        <v>0</v>
      </c>
      <c r="I171">
        <f>VALUE(MID(B171,E171+1,F171-E171-1))</f>
        <v>22</v>
      </c>
      <c r="J171">
        <f>VALUE(MID(B171,F171+1,4))</f>
        <v>32</v>
      </c>
    </row>
    <row r="172" spans="1:10" hidden="1" x14ac:dyDescent="0.25">
      <c r="A172" t="s">
        <v>170</v>
      </c>
      <c r="B172" t="s">
        <v>557</v>
      </c>
      <c r="C172" t="str">
        <f>IF(RIGHT(B172,5)="22,22","VIC20","")</f>
        <v/>
      </c>
      <c r="D172">
        <f>SEARCH(",",B172)</f>
        <v>2</v>
      </c>
      <c r="E172">
        <f>SEARCH(",",B172,D172+1)</f>
        <v>4</v>
      </c>
      <c r="F172">
        <f>SEARCH(",",B172,E172+1)</f>
        <v>7</v>
      </c>
      <c r="G172">
        <f>VALUE(MID(B172,1,D172-1))</f>
        <v>3</v>
      </c>
      <c r="H172">
        <f>VALUE(MID(B172,D172+1,E172-D172-1))</f>
        <v>1</v>
      </c>
      <c r="I172">
        <f>VALUE(MID(B172,E172+1,F172-E172-1))</f>
        <v>20</v>
      </c>
      <c r="J172">
        <f>VALUE(MID(B172,F172+1,4))</f>
        <v>30</v>
      </c>
    </row>
    <row r="173" spans="1:10" hidden="1" x14ac:dyDescent="0.25">
      <c r="A173" t="s">
        <v>171</v>
      </c>
      <c r="B173" t="s">
        <v>547</v>
      </c>
      <c r="C173" t="str">
        <f>IF(RIGHT(B173,5)="22,22","VIC20","")</f>
        <v/>
      </c>
      <c r="D173">
        <f>SEARCH(",",B173)</f>
        <v>2</v>
      </c>
      <c r="E173">
        <f>SEARCH(",",B173,D173+1)</f>
        <v>4</v>
      </c>
      <c r="F173">
        <f>SEARCH(",",B173,E173+1)</f>
        <v>7</v>
      </c>
      <c r="G173">
        <f>VALUE(MID(B173,1,D173-1))</f>
        <v>1</v>
      </c>
      <c r="H173">
        <f>VALUE(MID(B173,D173+1,E173-D173-1))</f>
        <v>1</v>
      </c>
      <c r="I173">
        <f>VALUE(MID(B173,E173+1,F173-E173-1))</f>
        <v>18</v>
      </c>
      <c r="J173">
        <f>VALUE(MID(B173,F173+1,4))</f>
        <v>30</v>
      </c>
    </row>
    <row r="174" spans="1:10" hidden="1" x14ac:dyDescent="0.25">
      <c r="A174" t="s">
        <v>172</v>
      </c>
      <c r="B174" t="s">
        <v>548</v>
      </c>
      <c r="C174" t="str">
        <f>IF(RIGHT(B174,5)="22,22","VIC20","")</f>
        <v/>
      </c>
      <c r="D174">
        <f>SEARCH(",",B174)</f>
        <v>2</v>
      </c>
      <c r="E174">
        <f>SEARCH(",",B174,D174+1)</f>
        <v>4</v>
      </c>
      <c r="F174">
        <f>SEARCH(",",B174,E174+1)</f>
        <v>7</v>
      </c>
      <c r="G174">
        <f>VALUE(MID(B174,1,D174-1))</f>
        <v>1</v>
      </c>
      <c r="H174">
        <f>VALUE(MID(B174,D174+1,E174-D174-1))</f>
        <v>1</v>
      </c>
      <c r="I174">
        <f>VALUE(MID(B174,E174+1,F174-E174-1))</f>
        <v>22</v>
      </c>
      <c r="J174">
        <f>VALUE(MID(B174,F174+1,4))</f>
        <v>30</v>
      </c>
    </row>
    <row r="175" spans="1:10" hidden="1" x14ac:dyDescent="0.25">
      <c r="A175" t="s">
        <v>173</v>
      </c>
      <c r="B175" t="s">
        <v>587</v>
      </c>
      <c r="C175" t="str">
        <f>IF(RIGHT(B175,5)="22,22","VIC20","")</f>
        <v/>
      </c>
      <c r="D175">
        <f>SEARCH(",",B175)</f>
        <v>2</v>
      </c>
      <c r="E175">
        <f>SEARCH(",",B175,D175+1)</f>
        <v>4</v>
      </c>
      <c r="F175">
        <f>SEARCH(",",B175,E175+1)</f>
        <v>7</v>
      </c>
      <c r="G175">
        <f>VALUE(MID(B175,1,D175-1))</f>
        <v>6</v>
      </c>
      <c r="H175">
        <f>VALUE(MID(B175,D175+1,E175-D175-1))</f>
        <v>1</v>
      </c>
      <c r="I175">
        <f>VALUE(MID(B175,E175+1,F175-E175-1))</f>
        <v>17</v>
      </c>
      <c r="J175">
        <f>VALUE(MID(B175,F175+1,4))</f>
        <v>30</v>
      </c>
    </row>
    <row r="176" spans="1:10" hidden="1" x14ac:dyDescent="0.25">
      <c r="A176" t="s">
        <v>174</v>
      </c>
      <c r="B176" t="s">
        <v>558</v>
      </c>
      <c r="C176" t="str">
        <f>IF(RIGHT(B176,5)="22,22","VIC20","")</f>
        <v/>
      </c>
      <c r="D176">
        <f>SEARCH(",",B176)</f>
        <v>2</v>
      </c>
      <c r="E176">
        <f>SEARCH(",",B176,D176+1)</f>
        <v>4</v>
      </c>
      <c r="F176">
        <f>SEARCH(",",B176,E176+1)</f>
        <v>7</v>
      </c>
      <c r="G176">
        <f>VALUE(MID(B176,1,D176-1))</f>
        <v>0</v>
      </c>
      <c r="H176">
        <f>VALUE(MID(B176,D176+1,E176-D176-1))</f>
        <v>0</v>
      </c>
      <c r="I176">
        <f>VALUE(MID(B176,E176+1,F176-E176-1))</f>
        <v>23</v>
      </c>
      <c r="J176">
        <f>VALUE(MID(B176,F176+1,4))</f>
        <v>32</v>
      </c>
    </row>
    <row r="177" spans="1:10" hidden="1" x14ac:dyDescent="0.25">
      <c r="A177" t="s">
        <v>175</v>
      </c>
      <c r="B177" t="s">
        <v>594</v>
      </c>
      <c r="C177" t="str">
        <f>IF(RIGHT(B177,5)="22,22","VIC20","")</f>
        <v/>
      </c>
      <c r="D177">
        <f>SEARCH(",",B177)</f>
        <v>2</v>
      </c>
      <c r="E177">
        <f>SEARCH(",",B177,D177+1)</f>
        <v>4</v>
      </c>
      <c r="F177">
        <f>SEARCH(",",B177,E177+1)</f>
        <v>7</v>
      </c>
      <c r="G177">
        <f>VALUE(MID(B177,1,D177-1))</f>
        <v>1</v>
      </c>
      <c r="H177">
        <f>VALUE(MID(B177,D177+1,E177-D177-1))</f>
        <v>1</v>
      </c>
      <c r="I177">
        <f>VALUE(MID(B177,E177+1,F177-E177-1))</f>
        <v>21</v>
      </c>
      <c r="J177">
        <f>VALUE(MID(B177,F177+1,4))</f>
        <v>30</v>
      </c>
    </row>
    <row r="178" spans="1:10" hidden="1" x14ac:dyDescent="0.25">
      <c r="A178" t="s">
        <v>176</v>
      </c>
      <c r="B178" t="s">
        <v>606</v>
      </c>
      <c r="C178" t="str">
        <f>IF(RIGHT(B178,5)="22,22","VIC20","")</f>
        <v/>
      </c>
      <c r="D178">
        <f>SEARCH(",",B178)</f>
        <v>2</v>
      </c>
      <c r="E178">
        <f>SEARCH(",",B178,D178+1)</f>
        <v>4</v>
      </c>
      <c r="F178">
        <f>SEARCH(",",B178,E178+1)</f>
        <v>7</v>
      </c>
      <c r="G178">
        <f>VALUE(MID(B178,1,D178-1))</f>
        <v>2</v>
      </c>
      <c r="H178">
        <f>VALUE(MID(B178,D178+1,E178-D178-1))</f>
        <v>2</v>
      </c>
      <c r="I178">
        <f>VALUE(MID(B178,E178+1,F178-E178-1))</f>
        <v>20</v>
      </c>
      <c r="J178">
        <f>VALUE(MID(B178,F178+1,4))</f>
        <v>28</v>
      </c>
    </row>
    <row r="179" spans="1:10" hidden="1" x14ac:dyDescent="0.25">
      <c r="A179" t="s">
        <v>177</v>
      </c>
      <c r="B179" t="s">
        <v>581</v>
      </c>
      <c r="C179" t="str">
        <f>IF(RIGHT(B179,5)="22,22","VIC20","")</f>
        <v/>
      </c>
      <c r="D179">
        <f>SEARCH(",",B179)</f>
        <v>2</v>
      </c>
      <c r="E179">
        <f>SEARCH(",",B179,D179+1)</f>
        <v>4</v>
      </c>
      <c r="F179">
        <f>SEARCH(",",B179,E179+1)</f>
        <v>7</v>
      </c>
      <c r="G179">
        <f>VALUE(MID(B179,1,D179-1))</f>
        <v>0</v>
      </c>
      <c r="H179">
        <f>VALUE(MID(B179,D179+1,E179-D179-1))</f>
        <v>0</v>
      </c>
      <c r="I179">
        <f>VALUE(MID(B179,E179+1,F179-E179-1))</f>
        <v>21</v>
      </c>
      <c r="J179">
        <f>VALUE(MID(B179,F179+1,4))</f>
        <v>32</v>
      </c>
    </row>
    <row r="180" spans="1:10" hidden="1" x14ac:dyDescent="0.25">
      <c r="A180" t="s">
        <v>178</v>
      </c>
      <c r="B180" t="s">
        <v>609</v>
      </c>
      <c r="C180" t="str">
        <f>IF(RIGHT(B180,5)="22,22","VIC20","")</f>
        <v/>
      </c>
      <c r="D180">
        <f>SEARCH(",",B180)</f>
        <v>2</v>
      </c>
      <c r="E180">
        <f>SEARCH(",",B180,D180+1)</f>
        <v>4</v>
      </c>
      <c r="F180">
        <f>SEARCH(",",B180,E180+1)</f>
        <v>7</v>
      </c>
      <c r="G180">
        <f>VALUE(MID(B180,1,D180-1))</f>
        <v>3</v>
      </c>
      <c r="H180">
        <f>VALUE(MID(B180,D180+1,E180-D180-1))</f>
        <v>1</v>
      </c>
      <c r="I180">
        <f>VALUE(MID(B180,E180+1,F180-E180-1))</f>
        <v>19</v>
      </c>
      <c r="J180">
        <f>VALUE(MID(B180,F180+1,4))</f>
        <v>30</v>
      </c>
    </row>
    <row r="181" spans="1:10" hidden="1" x14ac:dyDescent="0.25">
      <c r="A181" t="s">
        <v>179</v>
      </c>
      <c r="B181" t="s">
        <v>611</v>
      </c>
      <c r="C181" t="str">
        <f>IF(RIGHT(B181,5)="22,22","VIC20","")</f>
        <v/>
      </c>
      <c r="D181">
        <f>SEARCH(",",B181)</f>
        <v>2</v>
      </c>
      <c r="E181">
        <f>SEARCH(",",B181,D181+1)</f>
        <v>4</v>
      </c>
      <c r="F181">
        <f>SEARCH(",",B181,E181+1)</f>
        <v>7</v>
      </c>
      <c r="G181">
        <f>VALUE(MID(B181,1,D181-1))</f>
        <v>1</v>
      </c>
      <c r="H181">
        <f>VALUE(MID(B181,D181+1,E181-D181-1))</f>
        <v>1</v>
      </c>
      <c r="I181">
        <f>VALUE(MID(B181,E181+1,F181-E181-1))</f>
        <v>17</v>
      </c>
      <c r="J181">
        <f>VALUE(MID(B181,F181+1,4))</f>
        <v>30</v>
      </c>
    </row>
    <row r="182" spans="1:10" hidden="1" x14ac:dyDescent="0.25">
      <c r="A182" t="s">
        <v>180</v>
      </c>
      <c r="B182" t="s">
        <v>612</v>
      </c>
      <c r="C182" t="str">
        <f>IF(RIGHT(B182,5)="22,22","VIC20","")</f>
        <v/>
      </c>
      <c r="D182">
        <f>SEARCH(",",B182)</f>
        <v>2</v>
      </c>
      <c r="E182">
        <f>SEARCH(",",B182,D182+1)</f>
        <v>4</v>
      </c>
      <c r="F182">
        <f>SEARCH(",",B182,E182+1)</f>
        <v>6</v>
      </c>
      <c r="G182">
        <f>VALUE(MID(B182,1,D182-1))</f>
        <v>1</v>
      </c>
      <c r="H182">
        <f>VALUE(MID(B182,D182+1,E182-D182-1))</f>
        <v>0</v>
      </c>
      <c r="I182">
        <f>VALUE(MID(B182,E182+1,F182-E182-1))</f>
        <v>7</v>
      </c>
      <c r="J182">
        <f>VALUE(MID(B182,F182+1,4))</f>
        <v>32</v>
      </c>
    </row>
    <row r="183" spans="1:10" hidden="1" x14ac:dyDescent="0.25">
      <c r="A183" t="s">
        <v>181</v>
      </c>
      <c r="B183" t="s">
        <v>606</v>
      </c>
      <c r="C183" t="str">
        <f>IF(RIGHT(B183,5)="22,22","VIC20","")</f>
        <v/>
      </c>
      <c r="D183">
        <f>SEARCH(",",B183)</f>
        <v>2</v>
      </c>
      <c r="E183">
        <f>SEARCH(",",B183,D183+1)</f>
        <v>4</v>
      </c>
      <c r="F183">
        <f>SEARCH(",",B183,E183+1)</f>
        <v>7</v>
      </c>
      <c r="G183">
        <f>VALUE(MID(B183,1,D183-1))</f>
        <v>2</v>
      </c>
      <c r="H183">
        <f>VALUE(MID(B183,D183+1,E183-D183-1))</f>
        <v>2</v>
      </c>
      <c r="I183">
        <f>VALUE(MID(B183,E183+1,F183-E183-1))</f>
        <v>20</v>
      </c>
      <c r="J183">
        <f>VALUE(MID(B183,F183+1,4))</f>
        <v>28</v>
      </c>
    </row>
    <row r="184" spans="1:10" hidden="1" x14ac:dyDescent="0.25">
      <c r="A184" t="s">
        <v>182</v>
      </c>
      <c r="B184" t="s">
        <v>566</v>
      </c>
      <c r="C184" t="str">
        <f>IF(RIGHT(B184,5)="22,22","VIC20","")</f>
        <v/>
      </c>
      <c r="D184">
        <f>SEARCH(",",B184)</f>
        <v>2</v>
      </c>
      <c r="E184">
        <f>SEARCH(",",B184,D184+1)</f>
        <v>4</v>
      </c>
      <c r="F184">
        <f>SEARCH(",",B184,E184+1)</f>
        <v>7</v>
      </c>
      <c r="G184">
        <f>VALUE(MID(B184,1,D184-1))</f>
        <v>3</v>
      </c>
      <c r="H184">
        <f>VALUE(MID(B184,D184+1,E184-D184-1))</f>
        <v>2</v>
      </c>
      <c r="I184">
        <f>VALUE(MID(B184,E184+1,F184-E184-1))</f>
        <v>19</v>
      </c>
      <c r="J184">
        <f>VALUE(MID(B184,F184+1,4))</f>
        <v>28</v>
      </c>
    </row>
    <row r="185" spans="1:10" hidden="1" x14ac:dyDescent="0.25">
      <c r="A185" t="s">
        <v>183</v>
      </c>
      <c r="B185" t="s">
        <v>609</v>
      </c>
      <c r="C185" t="str">
        <f>IF(RIGHT(B185,5)="22,22","VIC20","")</f>
        <v/>
      </c>
      <c r="D185">
        <f>SEARCH(",",B185)</f>
        <v>2</v>
      </c>
      <c r="E185">
        <f>SEARCH(",",B185,D185+1)</f>
        <v>4</v>
      </c>
      <c r="F185">
        <f>SEARCH(",",B185,E185+1)</f>
        <v>7</v>
      </c>
      <c r="G185">
        <f>VALUE(MID(B185,1,D185-1))</f>
        <v>3</v>
      </c>
      <c r="H185">
        <f>VALUE(MID(B185,D185+1,E185-D185-1))</f>
        <v>1</v>
      </c>
      <c r="I185">
        <f>VALUE(MID(B185,E185+1,F185-E185-1))</f>
        <v>19</v>
      </c>
      <c r="J185">
        <f>VALUE(MID(B185,F185+1,4))</f>
        <v>30</v>
      </c>
    </row>
    <row r="186" spans="1:10" hidden="1" x14ac:dyDescent="0.25">
      <c r="A186" t="s">
        <v>184</v>
      </c>
      <c r="B186" t="s">
        <v>553</v>
      </c>
      <c r="C186" t="str">
        <f>IF(RIGHT(B186,5)="22,22","VIC20","")</f>
        <v/>
      </c>
      <c r="D186">
        <f>SEARCH(",",B186)</f>
        <v>2</v>
      </c>
      <c r="E186">
        <f>SEARCH(",",B186,D186+1)</f>
        <v>4</v>
      </c>
      <c r="F186">
        <f>SEARCH(",",B186,E186+1)</f>
        <v>7</v>
      </c>
      <c r="G186">
        <f>VALUE(MID(B186,1,D186-1))</f>
        <v>1</v>
      </c>
      <c r="H186">
        <f>VALUE(MID(B186,D186+1,E186-D186-1))</f>
        <v>1</v>
      </c>
      <c r="I186">
        <f>VALUE(MID(B186,E186+1,F186-E186-1))</f>
        <v>19</v>
      </c>
      <c r="J186">
        <f>VALUE(MID(B186,F186+1,4))</f>
        <v>30</v>
      </c>
    </row>
    <row r="187" spans="1:10" hidden="1" x14ac:dyDescent="0.25">
      <c r="A187" t="s">
        <v>185</v>
      </c>
      <c r="B187" t="s">
        <v>553</v>
      </c>
      <c r="C187" t="str">
        <f>IF(RIGHT(B187,5)="22,22","VIC20","")</f>
        <v/>
      </c>
      <c r="D187">
        <f>SEARCH(",",B187)</f>
        <v>2</v>
      </c>
      <c r="E187">
        <f>SEARCH(",",B187,D187+1)</f>
        <v>4</v>
      </c>
      <c r="F187">
        <f>SEARCH(",",B187,E187+1)</f>
        <v>7</v>
      </c>
      <c r="G187">
        <f>VALUE(MID(B187,1,D187-1))</f>
        <v>1</v>
      </c>
      <c r="H187">
        <f>VALUE(MID(B187,D187+1,E187-D187-1))</f>
        <v>1</v>
      </c>
      <c r="I187">
        <f>VALUE(MID(B187,E187+1,F187-E187-1))</f>
        <v>19</v>
      </c>
      <c r="J187">
        <f>VALUE(MID(B187,F187+1,4))</f>
        <v>30</v>
      </c>
    </row>
    <row r="188" spans="1:10" hidden="1" x14ac:dyDescent="0.25">
      <c r="A188" t="s">
        <v>186</v>
      </c>
      <c r="B188" t="s">
        <v>553</v>
      </c>
      <c r="C188" t="str">
        <f>IF(RIGHT(B188,5)="22,22","VIC20","")</f>
        <v/>
      </c>
      <c r="D188">
        <f>SEARCH(",",B188)</f>
        <v>2</v>
      </c>
      <c r="E188">
        <f>SEARCH(",",B188,D188+1)</f>
        <v>4</v>
      </c>
      <c r="F188">
        <f>SEARCH(",",B188,E188+1)</f>
        <v>7</v>
      </c>
      <c r="G188">
        <f>VALUE(MID(B188,1,D188-1))</f>
        <v>1</v>
      </c>
      <c r="H188">
        <f>VALUE(MID(B188,D188+1,E188-D188-1))</f>
        <v>1</v>
      </c>
      <c r="I188">
        <f>VALUE(MID(B188,E188+1,F188-E188-1))</f>
        <v>19</v>
      </c>
      <c r="J188">
        <f>VALUE(MID(B188,F188+1,4))</f>
        <v>30</v>
      </c>
    </row>
    <row r="189" spans="1:10" hidden="1" x14ac:dyDescent="0.25">
      <c r="A189" t="s">
        <v>187</v>
      </c>
      <c r="B189" t="s">
        <v>547</v>
      </c>
      <c r="C189" t="str">
        <f>IF(RIGHT(B189,5)="22,22","VIC20","")</f>
        <v/>
      </c>
      <c r="D189">
        <f>SEARCH(",",B189)</f>
        <v>2</v>
      </c>
      <c r="E189">
        <f>SEARCH(",",B189,D189+1)</f>
        <v>4</v>
      </c>
      <c r="F189">
        <f>SEARCH(",",B189,E189+1)</f>
        <v>7</v>
      </c>
      <c r="G189">
        <f>VALUE(MID(B189,1,D189-1))</f>
        <v>1</v>
      </c>
      <c r="H189">
        <f>VALUE(MID(B189,D189+1,E189-D189-1))</f>
        <v>1</v>
      </c>
      <c r="I189">
        <f>VALUE(MID(B189,E189+1,F189-E189-1))</f>
        <v>18</v>
      </c>
      <c r="J189">
        <f>VALUE(MID(B189,F189+1,4))</f>
        <v>30</v>
      </c>
    </row>
    <row r="190" spans="1:10" hidden="1" x14ac:dyDescent="0.25">
      <c r="A190" t="s">
        <v>188</v>
      </c>
      <c r="B190" t="s">
        <v>592</v>
      </c>
      <c r="C190" t="str">
        <f>IF(RIGHT(B190,5)="22,22","VIC20","")</f>
        <v/>
      </c>
      <c r="D190">
        <f>SEARCH(",",B190)</f>
        <v>2</v>
      </c>
      <c r="E190">
        <f>SEARCH(",",B190,D190+1)</f>
        <v>4</v>
      </c>
      <c r="F190">
        <f>SEARCH(",",B190,E190+1)</f>
        <v>7</v>
      </c>
      <c r="G190">
        <f>VALUE(MID(B190,1,D190-1))</f>
        <v>1</v>
      </c>
      <c r="H190">
        <f>VALUE(MID(B190,D190+1,E190-D190-1))</f>
        <v>1</v>
      </c>
      <c r="I190">
        <f>VALUE(MID(B190,E190+1,F190-E190-1))</f>
        <v>23</v>
      </c>
      <c r="J190">
        <f>VALUE(MID(B190,F190+1,4))</f>
        <v>30</v>
      </c>
    </row>
    <row r="191" spans="1:10" hidden="1" x14ac:dyDescent="0.25">
      <c r="A191" t="s">
        <v>189</v>
      </c>
      <c r="B191" t="s">
        <v>553</v>
      </c>
      <c r="C191" t="str">
        <f>IF(RIGHT(B191,5)="22,22","VIC20","")</f>
        <v/>
      </c>
      <c r="D191">
        <f>SEARCH(",",B191)</f>
        <v>2</v>
      </c>
      <c r="E191">
        <f>SEARCH(",",B191,D191+1)</f>
        <v>4</v>
      </c>
      <c r="F191">
        <f>SEARCH(",",B191,E191+1)</f>
        <v>7</v>
      </c>
      <c r="G191">
        <f>VALUE(MID(B191,1,D191-1))</f>
        <v>1</v>
      </c>
      <c r="H191">
        <f>VALUE(MID(B191,D191+1,E191-D191-1))</f>
        <v>1</v>
      </c>
      <c r="I191">
        <f>VALUE(MID(B191,E191+1,F191-E191-1))</f>
        <v>19</v>
      </c>
      <c r="J191">
        <f>VALUE(MID(B191,F191+1,4))</f>
        <v>30</v>
      </c>
    </row>
    <row r="192" spans="1:10" hidden="1" x14ac:dyDescent="0.25">
      <c r="A192" t="s">
        <v>190</v>
      </c>
      <c r="B192" t="s">
        <v>603</v>
      </c>
      <c r="C192" t="str">
        <f>IF(RIGHT(B192,5)="22,22","VIC20","")</f>
        <v/>
      </c>
      <c r="D192">
        <f>SEARCH(",",B192)</f>
        <v>2</v>
      </c>
      <c r="E192">
        <f>SEARCH(",",B192,D192+1)</f>
        <v>4</v>
      </c>
      <c r="F192">
        <f>SEARCH(",",B192,E192+1)</f>
        <v>7</v>
      </c>
      <c r="G192">
        <f>VALUE(MID(B192,1,D192-1))</f>
        <v>0</v>
      </c>
      <c r="H192">
        <f>VALUE(MID(B192,D192+1,E192-D192-1))</f>
        <v>0</v>
      </c>
      <c r="I192">
        <f>VALUE(MID(B192,E192+1,F192-E192-1))</f>
        <v>21</v>
      </c>
      <c r="J192">
        <f>VALUE(MID(B192,F192+1,4))</f>
        <v>30</v>
      </c>
    </row>
    <row r="193" spans="1:10" hidden="1" x14ac:dyDescent="0.25">
      <c r="A193" t="s">
        <v>191</v>
      </c>
      <c r="B193" t="s">
        <v>603</v>
      </c>
      <c r="C193" t="str">
        <f>IF(RIGHT(B193,5)="22,22","VIC20","")</f>
        <v/>
      </c>
      <c r="D193">
        <f>SEARCH(",",B193)</f>
        <v>2</v>
      </c>
      <c r="E193">
        <f>SEARCH(",",B193,D193+1)</f>
        <v>4</v>
      </c>
      <c r="F193">
        <f>SEARCH(",",B193,E193+1)</f>
        <v>7</v>
      </c>
      <c r="G193">
        <f>VALUE(MID(B193,1,D193-1))</f>
        <v>0</v>
      </c>
      <c r="H193">
        <f>VALUE(MID(B193,D193+1,E193-D193-1))</f>
        <v>0</v>
      </c>
      <c r="I193">
        <f>VALUE(MID(B193,E193+1,F193-E193-1))</f>
        <v>21</v>
      </c>
      <c r="J193">
        <f>VALUE(MID(B193,F193+1,4))</f>
        <v>30</v>
      </c>
    </row>
    <row r="194" spans="1:10" x14ac:dyDescent="0.25">
      <c r="A194" t="s">
        <v>105</v>
      </c>
      <c r="B194" t="s">
        <v>552</v>
      </c>
      <c r="C194" t="s">
        <v>544</v>
      </c>
      <c r="D194">
        <f>SEARCH(",",B194)</f>
        <v>2</v>
      </c>
      <c r="E194">
        <f>SEARCH(",",B194,D194+1)</f>
        <v>4</v>
      </c>
      <c r="F194">
        <f>SEARCH(",",B194,E194+1)</f>
        <v>7</v>
      </c>
      <c r="G194">
        <f>VALUE(MID(B194,1,D194-1))</f>
        <v>1</v>
      </c>
      <c r="H194">
        <f>VALUE(MID(B194,D194+1,E194-D194-1))</f>
        <v>1</v>
      </c>
      <c r="I194">
        <f>VALUE(MID(B194,E194+1,F194-E194-1))</f>
        <v>22</v>
      </c>
      <c r="J194">
        <f>VALUE(MID(B194,F194+1,4))</f>
        <v>22</v>
      </c>
    </row>
    <row r="195" spans="1:10" hidden="1" x14ac:dyDescent="0.25">
      <c r="A195" t="s">
        <v>193</v>
      </c>
      <c r="B195" t="s">
        <v>613</v>
      </c>
      <c r="C195" t="str">
        <f>IF(RIGHT(B195,5)="22,22","VIC20","")</f>
        <v/>
      </c>
      <c r="D195">
        <f>SEARCH(",",B195)</f>
        <v>2</v>
      </c>
      <c r="E195">
        <f>SEARCH(",",B195,D195+1)</f>
        <v>4</v>
      </c>
      <c r="F195">
        <f>SEARCH(",",B195,E195+1)</f>
        <v>7</v>
      </c>
      <c r="G195">
        <f>VALUE(MID(B195,1,D195-1))</f>
        <v>3</v>
      </c>
      <c r="H195">
        <f>VALUE(MID(B195,D195+1,E195-D195-1))</f>
        <v>2</v>
      </c>
      <c r="I195">
        <f>VALUE(MID(B195,E195+1,F195-E195-1))</f>
        <v>17</v>
      </c>
      <c r="J195">
        <f>VALUE(MID(B195,F195+1,4))</f>
        <v>28</v>
      </c>
    </row>
    <row r="196" spans="1:10" hidden="1" x14ac:dyDescent="0.25">
      <c r="A196" t="s">
        <v>194</v>
      </c>
      <c r="B196" t="s">
        <v>602</v>
      </c>
      <c r="C196" t="str">
        <f>IF(RIGHT(B196,5)="22,22","VIC20","")</f>
        <v/>
      </c>
      <c r="D196">
        <f>SEARCH(",",B196)</f>
        <v>2</v>
      </c>
      <c r="E196">
        <f>SEARCH(",",B196,D196+1)</f>
        <v>4</v>
      </c>
      <c r="F196">
        <f>SEARCH(",",B196,E196+1)</f>
        <v>7</v>
      </c>
      <c r="G196">
        <f>VALUE(MID(B196,1,D196-1))</f>
        <v>2</v>
      </c>
      <c r="H196">
        <f>VALUE(MID(B196,D196+1,E196-D196-1))</f>
        <v>1</v>
      </c>
      <c r="I196">
        <f>VALUE(MID(B196,E196+1,F196-E196-1))</f>
        <v>20</v>
      </c>
      <c r="J196">
        <f>VALUE(MID(B196,F196+1,4))</f>
        <v>30</v>
      </c>
    </row>
    <row r="197" spans="1:10" hidden="1" x14ac:dyDescent="0.25">
      <c r="A197" t="s">
        <v>195</v>
      </c>
      <c r="B197" t="s">
        <v>614</v>
      </c>
      <c r="C197" t="str">
        <f>IF(RIGHT(B197,5)="22,22","VIC20","")</f>
        <v/>
      </c>
      <c r="D197">
        <f>SEARCH(",",B197)</f>
        <v>2</v>
      </c>
      <c r="E197">
        <f>SEARCH(",",B197,D197+1)</f>
        <v>4</v>
      </c>
      <c r="F197">
        <f>SEARCH(",",B197,E197+1)</f>
        <v>7</v>
      </c>
      <c r="G197">
        <f>VALUE(MID(B197,1,D197-1))</f>
        <v>2</v>
      </c>
      <c r="H197">
        <f>VALUE(MID(B197,D197+1,E197-D197-1))</f>
        <v>1</v>
      </c>
      <c r="I197">
        <f>VALUE(MID(B197,E197+1,F197-E197-1))</f>
        <v>15</v>
      </c>
      <c r="J197">
        <f>VALUE(MID(B197,F197+1,4))</f>
        <v>30</v>
      </c>
    </row>
    <row r="198" spans="1:10" x14ac:dyDescent="0.25">
      <c r="A198" t="s">
        <v>255</v>
      </c>
      <c r="B198" t="s">
        <v>552</v>
      </c>
      <c r="C198" t="s">
        <v>544</v>
      </c>
      <c r="D198">
        <f>SEARCH(",",B198)</f>
        <v>2</v>
      </c>
      <c r="E198">
        <f>SEARCH(",",B198,D198+1)</f>
        <v>4</v>
      </c>
      <c r="F198">
        <f>SEARCH(",",B198,E198+1)</f>
        <v>7</v>
      </c>
      <c r="G198">
        <f>VALUE(MID(B198,1,D198-1))</f>
        <v>1</v>
      </c>
      <c r="H198">
        <f>VALUE(MID(B198,D198+1,E198-D198-1))</f>
        <v>1</v>
      </c>
      <c r="I198">
        <f>VALUE(MID(B198,E198+1,F198-E198-1))</f>
        <v>22</v>
      </c>
      <c r="J198">
        <f>VALUE(MID(B198,F198+1,4))</f>
        <v>22</v>
      </c>
    </row>
    <row r="199" spans="1:10" hidden="1" x14ac:dyDescent="0.25">
      <c r="A199" t="s">
        <v>197</v>
      </c>
      <c r="B199" t="s">
        <v>546</v>
      </c>
      <c r="C199" t="str">
        <f>IF(RIGHT(B199,5)="22,22","VIC20","")</f>
        <v/>
      </c>
      <c r="D199">
        <f>SEARCH(",",B199)</f>
        <v>2</v>
      </c>
      <c r="E199">
        <f>SEARCH(",",B199,D199+1)</f>
        <v>4</v>
      </c>
      <c r="F199">
        <f>SEARCH(",",B199,E199+1)</f>
        <v>7</v>
      </c>
      <c r="G199">
        <f>VALUE(MID(B199,1,D199-1))</f>
        <v>1</v>
      </c>
      <c r="H199">
        <f>VALUE(MID(B199,D199+1,E199-D199-1))</f>
        <v>0</v>
      </c>
      <c r="I199">
        <f>VALUE(MID(B199,E199+1,F199-E199-1))</f>
        <v>23</v>
      </c>
      <c r="J199">
        <f>VALUE(MID(B199,F199+1,4))</f>
        <v>32</v>
      </c>
    </row>
    <row r="200" spans="1:10" hidden="1" x14ac:dyDescent="0.25">
      <c r="A200" t="s">
        <v>198</v>
      </c>
      <c r="B200" t="s">
        <v>553</v>
      </c>
      <c r="C200" t="str">
        <f>IF(RIGHT(B200,5)="22,22","VIC20","")</f>
        <v/>
      </c>
      <c r="D200">
        <f>SEARCH(",",B200)</f>
        <v>2</v>
      </c>
      <c r="E200">
        <f>SEARCH(",",B200,D200+1)</f>
        <v>4</v>
      </c>
      <c r="F200">
        <f>SEARCH(",",B200,E200+1)</f>
        <v>7</v>
      </c>
      <c r="G200">
        <f>VALUE(MID(B200,1,D200-1))</f>
        <v>1</v>
      </c>
      <c r="H200">
        <f>VALUE(MID(B200,D200+1,E200-D200-1))</f>
        <v>1</v>
      </c>
      <c r="I200">
        <f>VALUE(MID(B200,E200+1,F200-E200-1))</f>
        <v>19</v>
      </c>
      <c r="J200">
        <f>VALUE(MID(B200,F200+1,4))</f>
        <v>30</v>
      </c>
    </row>
    <row r="201" spans="1:10" hidden="1" x14ac:dyDescent="0.25">
      <c r="A201" t="s">
        <v>199</v>
      </c>
      <c r="B201" t="s">
        <v>616</v>
      </c>
      <c r="C201" t="str">
        <f>IF(RIGHT(B201,5)="22,22","VIC20","")</f>
        <v/>
      </c>
      <c r="D201">
        <f>SEARCH(",",B201)</f>
        <v>2</v>
      </c>
      <c r="E201">
        <f>SEARCH(",",B201,D201+1)</f>
        <v>4</v>
      </c>
      <c r="F201">
        <f>SEARCH(",",B201,E201+1)</f>
        <v>7</v>
      </c>
      <c r="G201">
        <f>VALUE(MID(B201,1,D201-1))</f>
        <v>1</v>
      </c>
      <c r="H201">
        <f>VALUE(MID(B201,D201+1,E201-D201-1))</f>
        <v>2</v>
      </c>
      <c r="I201">
        <f>VALUE(MID(B201,E201+1,F201-E201-1))</f>
        <v>23</v>
      </c>
      <c r="J201">
        <f>VALUE(MID(B201,F201+1,4))</f>
        <v>28</v>
      </c>
    </row>
    <row r="202" spans="1:10" hidden="1" x14ac:dyDescent="0.25">
      <c r="A202" t="s">
        <v>200</v>
      </c>
      <c r="B202" t="s">
        <v>616</v>
      </c>
      <c r="C202" t="str">
        <f>IF(RIGHT(B202,5)="22,22","VIC20","")</f>
        <v/>
      </c>
      <c r="D202">
        <f>SEARCH(",",B202)</f>
        <v>2</v>
      </c>
      <c r="E202">
        <f>SEARCH(",",B202,D202+1)</f>
        <v>4</v>
      </c>
      <c r="F202">
        <f>SEARCH(",",B202,E202+1)</f>
        <v>7</v>
      </c>
      <c r="G202">
        <f>VALUE(MID(B202,1,D202-1))</f>
        <v>1</v>
      </c>
      <c r="H202">
        <f>VALUE(MID(B202,D202+1,E202-D202-1))</f>
        <v>2</v>
      </c>
      <c r="I202">
        <f>VALUE(MID(B202,E202+1,F202-E202-1))</f>
        <v>23</v>
      </c>
      <c r="J202">
        <f>VALUE(MID(B202,F202+1,4))</f>
        <v>28</v>
      </c>
    </row>
    <row r="203" spans="1:10" hidden="1" x14ac:dyDescent="0.25">
      <c r="A203" t="s">
        <v>201</v>
      </c>
      <c r="B203" t="s">
        <v>548</v>
      </c>
      <c r="C203" t="str">
        <f>IF(RIGHT(B203,5)="22,22","VIC20","")</f>
        <v/>
      </c>
      <c r="D203">
        <f>SEARCH(",",B203)</f>
        <v>2</v>
      </c>
      <c r="E203">
        <f>SEARCH(",",B203,D203+1)</f>
        <v>4</v>
      </c>
      <c r="F203">
        <f>SEARCH(",",B203,E203+1)</f>
        <v>7</v>
      </c>
      <c r="G203">
        <f>VALUE(MID(B203,1,D203-1))</f>
        <v>1</v>
      </c>
      <c r="H203">
        <f>VALUE(MID(B203,D203+1,E203-D203-1))</f>
        <v>1</v>
      </c>
      <c r="I203">
        <f>VALUE(MID(B203,E203+1,F203-E203-1))</f>
        <v>22</v>
      </c>
      <c r="J203">
        <f>VALUE(MID(B203,F203+1,4))</f>
        <v>30</v>
      </c>
    </row>
    <row r="204" spans="1:10" hidden="1" x14ac:dyDescent="0.25">
      <c r="A204" t="s">
        <v>202</v>
      </c>
      <c r="B204" t="s">
        <v>548</v>
      </c>
      <c r="C204" t="str">
        <f>IF(RIGHT(B204,5)="22,22","VIC20","")</f>
        <v/>
      </c>
      <c r="D204">
        <f>SEARCH(",",B204)</f>
        <v>2</v>
      </c>
      <c r="E204">
        <f>SEARCH(",",B204,D204+1)</f>
        <v>4</v>
      </c>
      <c r="F204">
        <f>SEARCH(",",B204,E204+1)</f>
        <v>7</v>
      </c>
      <c r="G204">
        <f>VALUE(MID(B204,1,D204-1))</f>
        <v>1</v>
      </c>
      <c r="H204">
        <f>VALUE(MID(B204,D204+1,E204-D204-1))</f>
        <v>1</v>
      </c>
      <c r="I204">
        <f>VALUE(MID(B204,E204+1,F204-E204-1))</f>
        <v>22</v>
      </c>
      <c r="J204">
        <f>VALUE(MID(B204,F204+1,4))</f>
        <v>30</v>
      </c>
    </row>
    <row r="205" spans="1:10" hidden="1" x14ac:dyDescent="0.25">
      <c r="A205" t="s">
        <v>203</v>
      </c>
      <c r="B205" t="s">
        <v>554</v>
      </c>
      <c r="C205" t="str">
        <f>IF(RIGHT(B205,5)="22,22","VIC20","")</f>
        <v/>
      </c>
      <c r="D205">
        <f>SEARCH(",",B205)</f>
        <v>2</v>
      </c>
      <c r="E205">
        <f>SEARCH(",",B205,D205+1)</f>
        <v>4</v>
      </c>
      <c r="F205">
        <f>SEARCH(",",B205,E205+1)</f>
        <v>7</v>
      </c>
      <c r="G205">
        <f>VALUE(MID(B205,1,D205-1))</f>
        <v>1</v>
      </c>
      <c r="H205">
        <f>VALUE(MID(B205,D205+1,E205-D205-1))</f>
        <v>1</v>
      </c>
      <c r="I205">
        <f>VALUE(MID(B205,E205+1,F205-E205-1))</f>
        <v>20</v>
      </c>
      <c r="J205">
        <f>VALUE(MID(B205,F205+1,4))</f>
        <v>30</v>
      </c>
    </row>
    <row r="206" spans="1:10" x14ac:dyDescent="0.25">
      <c r="A206" t="s">
        <v>111</v>
      </c>
      <c r="B206" t="s">
        <v>552</v>
      </c>
      <c r="C206" t="s">
        <v>544</v>
      </c>
      <c r="D206">
        <f>SEARCH(",",B206)</f>
        <v>2</v>
      </c>
      <c r="E206">
        <f>SEARCH(",",B206,D206+1)</f>
        <v>4</v>
      </c>
      <c r="F206">
        <f>SEARCH(",",B206,E206+1)</f>
        <v>7</v>
      </c>
      <c r="G206">
        <f>VALUE(MID(B206,1,D206-1))</f>
        <v>1</v>
      </c>
      <c r="H206">
        <f>VALUE(MID(B206,D206+1,E206-D206-1))</f>
        <v>1</v>
      </c>
      <c r="I206">
        <f>VALUE(MID(B206,E206+1,F206-E206-1))</f>
        <v>22</v>
      </c>
      <c r="J206">
        <f>VALUE(MID(B206,F206+1,4))</f>
        <v>22</v>
      </c>
    </row>
    <row r="207" spans="1:10" hidden="1" x14ac:dyDescent="0.25">
      <c r="A207" t="s">
        <v>205</v>
      </c>
      <c r="B207" t="s">
        <v>589</v>
      </c>
      <c r="C207" t="str">
        <f>IF(RIGHT(B207,5)="22,22","VIC20","")</f>
        <v/>
      </c>
      <c r="D207">
        <f>SEARCH(",",B207)</f>
        <v>2</v>
      </c>
      <c r="E207">
        <f>SEARCH(",",B207,D207+1)</f>
        <v>4</v>
      </c>
      <c r="F207">
        <f>SEARCH(",",B207,E207+1)</f>
        <v>7</v>
      </c>
      <c r="G207">
        <f>VALUE(MID(B207,1,D207-1))</f>
        <v>1</v>
      </c>
      <c r="H207">
        <f>VALUE(MID(B207,D207+1,E207-D207-1))</f>
        <v>1</v>
      </c>
      <c r="I207">
        <f>VALUE(MID(B207,E207+1,F207-E207-1))</f>
        <v>22</v>
      </c>
      <c r="J207">
        <f>VALUE(MID(B207,F207+1,4))</f>
        <v>24</v>
      </c>
    </row>
    <row r="208" spans="1:10" hidden="1" x14ac:dyDescent="0.25">
      <c r="A208" t="s">
        <v>206</v>
      </c>
      <c r="B208" t="s">
        <v>589</v>
      </c>
      <c r="C208" t="str">
        <f>IF(RIGHT(B208,5)="22,22","VIC20","")</f>
        <v/>
      </c>
      <c r="D208">
        <f>SEARCH(",",B208)</f>
        <v>2</v>
      </c>
      <c r="E208">
        <f>SEARCH(",",B208,D208+1)</f>
        <v>4</v>
      </c>
      <c r="F208">
        <f>SEARCH(",",B208,E208+1)</f>
        <v>7</v>
      </c>
      <c r="G208">
        <f>VALUE(MID(B208,1,D208-1))</f>
        <v>1</v>
      </c>
      <c r="H208">
        <f>VALUE(MID(B208,D208+1,E208-D208-1))</f>
        <v>1</v>
      </c>
      <c r="I208">
        <f>VALUE(MID(B208,E208+1,F208-E208-1))</f>
        <v>22</v>
      </c>
      <c r="J208">
        <f>VALUE(MID(B208,F208+1,4))</f>
        <v>24</v>
      </c>
    </row>
    <row r="209" spans="1:10" hidden="1" x14ac:dyDescent="0.25">
      <c r="A209" t="s">
        <v>207</v>
      </c>
      <c r="B209" t="s">
        <v>553</v>
      </c>
      <c r="C209" t="str">
        <f>IF(RIGHT(B209,5)="22,22","VIC20","")</f>
        <v/>
      </c>
      <c r="D209">
        <f>SEARCH(",",B209)</f>
        <v>2</v>
      </c>
      <c r="E209">
        <f>SEARCH(",",B209,D209+1)</f>
        <v>4</v>
      </c>
      <c r="F209">
        <f>SEARCH(",",B209,E209+1)</f>
        <v>7</v>
      </c>
      <c r="G209">
        <f>VALUE(MID(B209,1,D209-1))</f>
        <v>1</v>
      </c>
      <c r="H209">
        <f>VALUE(MID(B209,D209+1,E209-D209-1))</f>
        <v>1</v>
      </c>
      <c r="I209">
        <f>VALUE(MID(B209,E209+1,F209-E209-1))</f>
        <v>19</v>
      </c>
      <c r="J209">
        <f>VALUE(MID(B209,F209+1,4))</f>
        <v>30</v>
      </c>
    </row>
    <row r="210" spans="1:10" hidden="1" x14ac:dyDescent="0.25">
      <c r="A210" t="s">
        <v>208</v>
      </c>
      <c r="B210" t="s">
        <v>551</v>
      </c>
      <c r="C210" t="str">
        <f>IF(RIGHT(B210,5)="22,22","VIC20","")</f>
        <v/>
      </c>
      <c r="D210">
        <f>SEARCH(",",B210)</f>
        <v>2</v>
      </c>
      <c r="E210">
        <f>SEARCH(",",B210,D210+1)</f>
        <v>4</v>
      </c>
      <c r="F210">
        <f>SEARCH(",",B210,E210+1)</f>
        <v>7</v>
      </c>
      <c r="G210">
        <f>VALUE(MID(B210,1,D210-1))</f>
        <v>1</v>
      </c>
      <c r="H210">
        <f>VALUE(MID(B210,D210+1,E210-D210-1))</f>
        <v>0</v>
      </c>
      <c r="I210">
        <f>VALUE(MID(B210,E210+1,F210-E210-1))</f>
        <v>22</v>
      </c>
      <c r="J210">
        <f>VALUE(MID(B210,F210+1,4))</f>
        <v>32</v>
      </c>
    </row>
    <row r="211" spans="1:10" x14ac:dyDescent="0.25">
      <c r="A211" t="s">
        <v>34</v>
      </c>
      <c r="B211" t="s">
        <v>552</v>
      </c>
      <c r="C211" t="s">
        <v>544</v>
      </c>
      <c r="D211">
        <f>SEARCH(",",B211)</f>
        <v>2</v>
      </c>
      <c r="E211">
        <f>SEARCH(",",B211,D211+1)</f>
        <v>4</v>
      </c>
      <c r="F211">
        <f>SEARCH(",",B211,E211+1)</f>
        <v>7</v>
      </c>
      <c r="G211">
        <f>VALUE(MID(B211,1,D211-1))</f>
        <v>1</v>
      </c>
      <c r="H211">
        <f>VALUE(MID(B211,D211+1,E211-D211-1))</f>
        <v>1</v>
      </c>
      <c r="I211">
        <f>VALUE(MID(B211,E211+1,F211-E211-1))</f>
        <v>22</v>
      </c>
      <c r="J211">
        <f>VALUE(MID(B211,F211+1,4))</f>
        <v>22</v>
      </c>
    </row>
    <row r="212" spans="1:10" hidden="1" x14ac:dyDescent="0.25">
      <c r="A212" t="s">
        <v>210</v>
      </c>
      <c r="B212" t="s">
        <v>553</v>
      </c>
      <c r="C212" t="str">
        <f>IF(RIGHT(B212,5)="22,22","VIC20","")</f>
        <v/>
      </c>
      <c r="D212">
        <f>SEARCH(",",B212)</f>
        <v>2</v>
      </c>
      <c r="E212">
        <f>SEARCH(",",B212,D212+1)</f>
        <v>4</v>
      </c>
      <c r="F212">
        <f>SEARCH(",",B212,E212+1)</f>
        <v>7</v>
      </c>
      <c r="G212">
        <f>VALUE(MID(B212,1,D212-1))</f>
        <v>1</v>
      </c>
      <c r="H212">
        <f>VALUE(MID(B212,D212+1,E212-D212-1))</f>
        <v>1</v>
      </c>
      <c r="I212">
        <f>VALUE(MID(B212,E212+1,F212-E212-1))</f>
        <v>19</v>
      </c>
      <c r="J212">
        <f>VALUE(MID(B212,F212+1,4))</f>
        <v>30</v>
      </c>
    </row>
    <row r="213" spans="1:10" hidden="1" x14ac:dyDescent="0.25">
      <c r="A213" t="s">
        <v>211</v>
      </c>
      <c r="B213" t="s">
        <v>553</v>
      </c>
      <c r="C213" t="str">
        <f>IF(RIGHT(B213,5)="22,22","VIC20","")</f>
        <v/>
      </c>
      <c r="D213">
        <f>SEARCH(",",B213)</f>
        <v>2</v>
      </c>
      <c r="E213">
        <f>SEARCH(",",B213,D213+1)</f>
        <v>4</v>
      </c>
      <c r="F213">
        <f>SEARCH(",",B213,E213+1)</f>
        <v>7</v>
      </c>
      <c r="G213">
        <f>VALUE(MID(B213,1,D213-1))</f>
        <v>1</v>
      </c>
      <c r="H213">
        <f>VALUE(MID(B213,D213+1,E213-D213-1))</f>
        <v>1</v>
      </c>
      <c r="I213">
        <f>VALUE(MID(B213,E213+1,F213-E213-1))</f>
        <v>19</v>
      </c>
      <c r="J213">
        <f>VALUE(MID(B213,F213+1,4))</f>
        <v>30</v>
      </c>
    </row>
    <row r="214" spans="1:10" hidden="1" x14ac:dyDescent="0.25">
      <c r="A214" t="s">
        <v>212</v>
      </c>
      <c r="B214" t="s">
        <v>553</v>
      </c>
      <c r="C214" t="str">
        <f>IF(RIGHT(B214,5)="22,22","VIC20","")</f>
        <v/>
      </c>
      <c r="D214">
        <f>SEARCH(",",B214)</f>
        <v>2</v>
      </c>
      <c r="E214">
        <f>SEARCH(",",B214,D214+1)</f>
        <v>4</v>
      </c>
      <c r="F214">
        <f>SEARCH(",",B214,E214+1)</f>
        <v>7</v>
      </c>
      <c r="G214">
        <f>VALUE(MID(B214,1,D214-1))</f>
        <v>1</v>
      </c>
      <c r="H214">
        <f>VALUE(MID(B214,D214+1,E214-D214-1))</f>
        <v>1</v>
      </c>
      <c r="I214">
        <f>VALUE(MID(B214,E214+1,F214-E214-1))</f>
        <v>19</v>
      </c>
      <c r="J214">
        <f>VALUE(MID(B214,F214+1,4))</f>
        <v>30</v>
      </c>
    </row>
    <row r="215" spans="1:10" hidden="1" x14ac:dyDescent="0.25">
      <c r="A215" t="s">
        <v>213</v>
      </c>
      <c r="B215" t="s">
        <v>553</v>
      </c>
      <c r="C215" t="str">
        <f>IF(RIGHT(B215,5)="22,22","VIC20","")</f>
        <v/>
      </c>
      <c r="D215">
        <f>SEARCH(",",B215)</f>
        <v>2</v>
      </c>
      <c r="E215">
        <f>SEARCH(",",B215,D215+1)</f>
        <v>4</v>
      </c>
      <c r="F215">
        <f>SEARCH(",",B215,E215+1)</f>
        <v>7</v>
      </c>
      <c r="G215">
        <f>VALUE(MID(B215,1,D215-1))</f>
        <v>1</v>
      </c>
      <c r="H215">
        <f>VALUE(MID(B215,D215+1,E215-D215-1))</f>
        <v>1</v>
      </c>
      <c r="I215">
        <f>VALUE(MID(B215,E215+1,F215-E215-1))</f>
        <v>19</v>
      </c>
      <c r="J215">
        <f>VALUE(MID(B215,F215+1,4))</f>
        <v>30</v>
      </c>
    </row>
    <row r="216" spans="1:10" x14ac:dyDescent="0.25">
      <c r="A216" t="s">
        <v>114</v>
      </c>
      <c r="B216" t="s">
        <v>552</v>
      </c>
      <c r="C216" t="s">
        <v>544</v>
      </c>
      <c r="D216">
        <f>SEARCH(",",B216)</f>
        <v>2</v>
      </c>
      <c r="E216">
        <f>SEARCH(",",B216,D216+1)</f>
        <v>4</v>
      </c>
      <c r="F216">
        <f>SEARCH(",",B216,E216+1)</f>
        <v>7</v>
      </c>
      <c r="G216">
        <f>VALUE(MID(B216,1,D216-1))</f>
        <v>1</v>
      </c>
      <c r="H216">
        <f>VALUE(MID(B216,D216+1,E216-D216-1))</f>
        <v>1</v>
      </c>
      <c r="I216">
        <f>VALUE(MID(B216,E216+1,F216-E216-1))</f>
        <v>22</v>
      </c>
      <c r="J216">
        <f>VALUE(MID(B216,F216+1,4))</f>
        <v>22</v>
      </c>
    </row>
    <row r="217" spans="1:10" x14ac:dyDescent="0.25">
      <c r="A217" t="s">
        <v>116</v>
      </c>
      <c r="B217" t="s">
        <v>593</v>
      </c>
      <c r="C217" t="s">
        <v>544</v>
      </c>
      <c r="D217">
        <f>SEARCH(",",B217)</f>
        <v>2</v>
      </c>
      <c r="E217">
        <f>SEARCH(",",B217,D217+1)</f>
        <v>4</v>
      </c>
      <c r="F217">
        <f>SEARCH(",",B217,E217+1)</f>
        <v>7</v>
      </c>
      <c r="G217">
        <f>VALUE(MID(B217,1,D217-1))</f>
        <v>1</v>
      </c>
      <c r="H217">
        <f>VALUE(MID(B217,D217+1,E217-D217-1))</f>
        <v>1</v>
      </c>
      <c r="I217">
        <f>VALUE(MID(B217,E217+1,F217-E217-1))</f>
        <v>21</v>
      </c>
      <c r="J217">
        <f>VALUE(MID(B217,F217+1,4))</f>
        <v>22</v>
      </c>
    </row>
    <row r="218" spans="1:10" x14ac:dyDescent="0.25">
      <c r="A218" t="s">
        <v>117</v>
      </c>
      <c r="B218" t="s">
        <v>593</v>
      </c>
      <c r="C218" t="s">
        <v>544</v>
      </c>
      <c r="D218">
        <f>SEARCH(",",B218)</f>
        <v>2</v>
      </c>
      <c r="E218">
        <f>SEARCH(",",B218,D218+1)</f>
        <v>4</v>
      </c>
      <c r="F218">
        <f>SEARCH(",",B218,E218+1)</f>
        <v>7</v>
      </c>
      <c r="G218">
        <f>VALUE(MID(B218,1,D218-1))</f>
        <v>1</v>
      </c>
      <c r="H218">
        <f>VALUE(MID(B218,D218+1,E218-D218-1))</f>
        <v>1</v>
      </c>
      <c r="I218">
        <f>VALUE(MID(B218,E218+1,F218-E218-1))</f>
        <v>21</v>
      </c>
      <c r="J218">
        <f>VALUE(MID(B218,F218+1,4))</f>
        <v>22</v>
      </c>
    </row>
    <row r="219" spans="1:10" x14ac:dyDescent="0.25">
      <c r="A219" t="s">
        <v>118</v>
      </c>
      <c r="B219" t="s">
        <v>593</v>
      </c>
      <c r="C219" t="s">
        <v>544</v>
      </c>
      <c r="D219">
        <f>SEARCH(",",B219)</f>
        <v>2</v>
      </c>
      <c r="E219">
        <f>SEARCH(",",B219,D219+1)</f>
        <v>4</v>
      </c>
      <c r="F219">
        <f>SEARCH(",",B219,E219+1)</f>
        <v>7</v>
      </c>
      <c r="G219">
        <f>VALUE(MID(B219,1,D219-1))</f>
        <v>1</v>
      </c>
      <c r="H219">
        <f>VALUE(MID(B219,D219+1,E219-D219-1))</f>
        <v>1</v>
      </c>
      <c r="I219">
        <f>VALUE(MID(B219,E219+1,F219-E219-1))</f>
        <v>21</v>
      </c>
      <c r="J219">
        <f>VALUE(MID(B219,F219+1,4))</f>
        <v>22</v>
      </c>
    </row>
    <row r="220" spans="1:10" hidden="1" x14ac:dyDescent="0.25">
      <c r="A220" t="s">
        <v>218</v>
      </c>
      <c r="B220" t="s">
        <v>554</v>
      </c>
      <c r="C220" t="str">
        <f>IF(RIGHT(B220,5)="22,22","VIC20","")</f>
        <v/>
      </c>
      <c r="D220">
        <f>SEARCH(",",B220)</f>
        <v>2</v>
      </c>
      <c r="E220">
        <f>SEARCH(",",B220,D220+1)</f>
        <v>4</v>
      </c>
      <c r="F220">
        <f>SEARCH(",",B220,E220+1)</f>
        <v>7</v>
      </c>
      <c r="G220">
        <f>VALUE(MID(B220,1,D220-1))</f>
        <v>1</v>
      </c>
      <c r="H220">
        <f>VALUE(MID(B220,D220+1,E220-D220-1))</f>
        <v>1</v>
      </c>
      <c r="I220">
        <f>VALUE(MID(B220,E220+1,F220-E220-1))</f>
        <v>20</v>
      </c>
      <c r="J220">
        <f>VALUE(MID(B220,F220+1,4))</f>
        <v>30</v>
      </c>
    </row>
    <row r="221" spans="1:10" hidden="1" x14ac:dyDescent="0.25">
      <c r="A221" t="s">
        <v>219</v>
      </c>
      <c r="B221" t="s">
        <v>617</v>
      </c>
      <c r="C221" t="str">
        <f>IF(RIGHT(B221,5)="22,22","VIC20","")</f>
        <v/>
      </c>
      <c r="D221">
        <f>SEARCH(",",B221)</f>
        <v>2</v>
      </c>
      <c r="E221">
        <f>SEARCH(",",B221,D221+1)</f>
        <v>4</v>
      </c>
      <c r="F221">
        <f>SEARCH(",",B221,E221+1)</f>
        <v>7</v>
      </c>
      <c r="G221">
        <f>VALUE(MID(B221,1,D221-1))</f>
        <v>1</v>
      </c>
      <c r="H221">
        <f>VALUE(MID(B221,D221+1,E221-D221-1))</f>
        <v>1</v>
      </c>
      <c r="I221">
        <f>VALUE(MID(B221,E221+1,F221-E221-1))</f>
        <v>22</v>
      </c>
      <c r="J221">
        <f>VALUE(MID(B221,F221+1,4))</f>
        <v>23</v>
      </c>
    </row>
    <row r="222" spans="1:10" hidden="1" x14ac:dyDescent="0.25">
      <c r="A222" t="s">
        <v>220</v>
      </c>
      <c r="B222" t="s">
        <v>548</v>
      </c>
      <c r="C222" t="str">
        <f>IF(RIGHT(B222,5)="22,22","VIC20","")</f>
        <v/>
      </c>
      <c r="D222">
        <f>SEARCH(",",B222)</f>
        <v>2</v>
      </c>
      <c r="E222">
        <f>SEARCH(",",B222,D222+1)</f>
        <v>4</v>
      </c>
      <c r="F222">
        <f>SEARCH(",",B222,E222+1)</f>
        <v>7</v>
      </c>
      <c r="G222">
        <f>VALUE(MID(B222,1,D222-1))</f>
        <v>1</v>
      </c>
      <c r="H222">
        <f>VALUE(MID(B222,D222+1,E222-D222-1))</f>
        <v>1</v>
      </c>
      <c r="I222">
        <f>VALUE(MID(B222,E222+1,F222-E222-1))</f>
        <v>22</v>
      </c>
      <c r="J222">
        <f>VALUE(MID(B222,F222+1,4))</f>
        <v>30</v>
      </c>
    </row>
    <row r="223" spans="1:10" hidden="1" x14ac:dyDescent="0.25">
      <c r="A223" t="s">
        <v>221</v>
      </c>
      <c r="B223" t="s">
        <v>547</v>
      </c>
      <c r="C223" t="str">
        <f>IF(RIGHT(B223,5)="22,22","VIC20","")</f>
        <v/>
      </c>
      <c r="D223">
        <f>SEARCH(",",B223)</f>
        <v>2</v>
      </c>
      <c r="E223">
        <f>SEARCH(",",B223,D223+1)</f>
        <v>4</v>
      </c>
      <c r="F223">
        <f>SEARCH(",",B223,E223+1)</f>
        <v>7</v>
      </c>
      <c r="G223">
        <f>VALUE(MID(B223,1,D223-1))</f>
        <v>1</v>
      </c>
      <c r="H223">
        <f>VALUE(MID(B223,D223+1,E223-D223-1))</f>
        <v>1</v>
      </c>
      <c r="I223">
        <f>VALUE(MID(B223,E223+1,F223-E223-1))</f>
        <v>18</v>
      </c>
      <c r="J223">
        <f>VALUE(MID(B223,F223+1,4))</f>
        <v>30</v>
      </c>
    </row>
    <row r="224" spans="1:10" hidden="1" x14ac:dyDescent="0.25">
      <c r="A224" t="s">
        <v>222</v>
      </c>
      <c r="B224" t="s">
        <v>546</v>
      </c>
      <c r="C224" t="str">
        <f>IF(RIGHT(B224,5)="22,22","VIC20","")</f>
        <v/>
      </c>
      <c r="D224">
        <f>SEARCH(",",B224)</f>
        <v>2</v>
      </c>
      <c r="E224">
        <f>SEARCH(",",B224,D224+1)</f>
        <v>4</v>
      </c>
      <c r="F224">
        <f>SEARCH(",",B224,E224+1)</f>
        <v>7</v>
      </c>
      <c r="G224">
        <f>VALUE(MID(B224,1,D224-1))</f>
        <v>1</v>
      </c>
      <c r="H224">
        <f>VALUE(MID(B224,D224+1,E224-D224-1))</f>
        <v>0</v>
      </c>
      <c r="I224">
        <f>VALUE(MID(B224,E224+1,F224-E224-1))</f>
        <v>23</v>
      </c>
      <c r="J224">
        <f>VALUE(MID(B224,F224+1,4))</f>
        <v>32</v>
      </c>
    </row>
    <row r="225" spans="1:10" hidden="1" x14ac:dyDescent="0.25">
      <c r="A225" t="s">
        <v>223</v>
      </c>
      <c r="B225" t="s">
        <v>553</v>
      </c>
      <c r="C225" t="str">
        <f>IF(RIGHT(B225,5)="22,22","VIC20","")</f>
        <v/>
      </c>
      <c r="D225">
        <f>SEARCH(",",B225)</f>
        <v>2</v>
      </c>
      <c r="E225">
        <f>SEARCH(",",B225,D225+1)</f>
        <v>4</v>
      </c>
      <c r="F225">
        <f>SEARCH(",",B225,E225+1)</f>
        <v>7</v>
      </c>
      <c r="G225">
        <f>VALUE(MID(B225,1,D225-1))</f>
        <v>1</v>
      </c>
      <c r="H225">
        <f>VALUE(MID(B225,D225+1,E225-D225-1))</f>
        <v>1</v>
      </c>
      <c r="I225">
        <f>VALUE(MID(B225,E225+1,F225-E225-1))</f>
        <v>19</v>
      </c>
      <c r="J225">
        <f>VALUE(MID(B225,F225+1,4))</f>
        <v>30</v>
      </c>
    </row>
    <row r="226" spans="1:10" hidden="1" x14ac:dyDescent="0.25">
      <c r="A226" t="s">
        <v>224</v>
      </c>
      <c r="B226" t="s">
        <v>546</v>
      </c>
      <c r="C226" t="str">
        <f>IF(RIGHT(B226,5)="22,22","VIC20","")</f>
        <v/>
      </c>
      <c r="D226">
        <f>SEARCH(",",B226)</f>
        <v>2</v>
      </c>
      <c r="E226">
        <f>SEARCH(",",B226,D226+1)</f>
        <v>4</v>
      </c>
      <c r="F226">
        <f>SEARCH(",",B226,E226+1)</f>
        <v>7</v>
      </c>
      <c r="G226">
        <f>VALUE(MID(B226,1,D226-1))</f>
        <v>1</v>
      </c>
      <c r="H226">
        <f>VALUE(MID(B226,D226+1,E226-D226-1))</f>
        <v>0</v>
      </c>
      <c r="I226">
        <f>VALUE(MID(B226,E226+1,F226-E226-1))</f>
        <v>23</v>
      </c>
      <c r="J226">
        <f>VALUE(MID(B226,F226+1,4))</f>
        <v>32</v>
      </c>
    </row>
    <row r="227" spans="1:10" hidden="1" x14ac:dyDescent="0.25">
      <c r="A227" t="s">
        <v>225</v>
      </c>
      <c r="B227" t="s">
        <v>553</v>
      </c>
      <c r="C227" t="str">
        <f>IF(RIGHT(B227,5)="22,22","VIC20","")</f>
        <v/>
      </c>
      <c r="D227">
        <f>SEARCH(",",B227)</f>
        <v>2</v>
      </c>
      <c r="E227">
        <f>SEARCH(",",B227,D227+1)</f>
        <v>4</v>
      </c>
      <c r="F227">
        <f>SEARCH(",",B227,E227+1)</f>
        <v>7</v>
      </c>
      <c r="G227">
        <f>VALUE(MID(B227,1,D227-1))</f>
        <v>1</v>
      </c>
      <c r="H227">
        <f>VALUE(MID(B227,D227+1,E227-D227-1))</f>
        <v>1</v>
      </c>
      <c r="I227">
        <f>VALUE(MID(B227,E227+1,F227-E227-1))</f>
        <v>19</v>
      </c>
      <c r="J227">
        <f>VALUE(MID(B227,F227+1,4))</f>
        <v>30</v>
      </c>
    </row>
    <row r="228" spans="1:10" hidden="1" x14ac:dyDescent="0.25">
      <c r="A228" t="s">
        <v>226</v>
      </c>
      <c r="B228" t="s">
        <v>575</v>
      </c>
      <c r="C228" t="str">
        <f>IF(RIGHT(B228,5)="22,22","VIC20","")</f>
        <v/>
      </c>
      <c r="D228">
        <f>SEARCH(",",B228)</f>
        <v>2</v>
      </c>
      <c r="E228">
        <f>SEARCH(",",B228,D228+1)</f>
        <v>4</v>
      </c>
      <c r="F228">
        <f>SEARCH(",",B228,E228+1)</f>
        <v>7</v>
      </c>
      <c r="G228">
        <f>VALUE(MID(B228,1,D228-1))</f>
        <v>2</v>
      </c>
      <c r="H228">
        <f>VALUE(MID(B228,D228+1,E228-D228-1))</f>
        <v>0</v>
      </c>
      <c r="I228">
        <f>VALUE(MID(B228,E228+1,F228-E228-1))</f>
        <v>21</v>
      </c>
      <c r="J228">
        <f>VALUE(MID(B228,F228+1,4))</f>
        <v>32</v>
      </c>
    </row>
    <row r="229" spans="1:10" hidden="1" x14ac:dyDescent="0.25">
      <c r="A229" t="s">
        <v>227</v>
      </c>
      <c r="B229" t="s">
        <v>575</v>
      </c>
      <c r="C229" t="str">
        <f>IF(RIGHT(B229,5)="22,22","VIC20","")</f>
        <v/>
      </c>
      <c r="D229">
        <f>SEARCH(",",B229)</f>
        <v>2</v>
      </c>
      <c r="E229">
        <f>SEARCH(",",B229,D229+1)</f>
        <v>4</v>
      </c>
      <c r="F229">
        <f>SEARCH(",",B229,E229+1)</f>
        <v>7</v>
      </c>
      <c r="G229">
        <f>VALUE(MID(B229,1,D229-1))</f>
        <v>2</v>
      </c>
      <c r="H229">
        <f>VALUE(MID(B229,D229+1,E229-D229-1))</f>
        <v>0</v>
      </c>
      <c r="I229">
        <f>VALUE(MID(B229,E229+1,F229-E229-1))</f>
        <v>21</v>
      </c>
      <c r="J229">
        <f>VALUE(MID(B229,F229+1,4))</f>
        <v>32</v>
      </c>
    </row>
    <row r="230" spans="1:10" hidden="1" x14ac:dyDescent="0.25">
      <c r="A230" t="s">
        <v>228</v>
      </c>
      <c r="B230" t="s">
        <v>594</v>
      </c>
      <c r="C230" t="str">
        <f>IF(RIGHT(B230,5)="22,22","VIC20","")</f>
        <v/>
      </c>
      <c r="D230">
        <f>SEARCH(",",B230)</f>
        <v>2</v>
      </c>
      <c r="E230">
        <f>SEARCH(",",B230,D230+1)</f>
        <v>4</v>
      </c>
      <c r="F230">
        <f>SEARCH(",",B230,E230+1)</f>
        <v>7</v>
      </c>
      <c r="G230">
        <f>VALUE(MID(B230,1,D230-1))</f>
        <v>1</v>
      </c>
      <c r="H230">
        <f>VALUE(MID(B230,D230+1,E230-D230-1))</f>
        <v>1</v>
      </c>
      <c r="I230">
        <f>VALUE(MID(B230,E230+1,F230-E230-1))</f>
        <v>21</v>
      </c>
      <c r="J230">
        <f>VALUE(MID(B230,F230+1,4))</f>
        <v>30</v>
      </c>
    </row>
    <row r="231" spans="1:10" hidden="1" x14ac:dyDescent="0.25">
      <c r="A231" t="s">
        <v>229</v>
      </c>
      <c r="B231" t="s">
        <v>594</v>
      </c>
      <c r="C231" t="str">
        <f>IF(RIGHT(B231,5)="22,22","VIC20","")</f>
        <v/>
      </c>
      <c r="D231">
        <f>SEARCH(",",B231)</f>
        <v>2</v>
      </c>
      <c r="E231">
        <f>SEARCH(",",B231,D231+1)</f>
        <v>4</v>
      </c>
      <c r="F231">
        <f>SEARCH(",",B231,E231+1)</f>
        <v>7</v>
      </c>
      <c r="G231">
        <f>VALUE(MID(B231,1,D231-1))</f>
        <v>1</v>
      </c>
      <c r="H231">
        <f>VALUE(MID(B231,D231+1,E231-D231-1))</f>
        <v>1</v>
      </c>
      <c r="I231">
        <f>VALUE(MID(B231,E231+1,F231-E231-1))</f>
        <v>21</v>
      </c>
      <c r="J231">
        <f>VALUE(MID(B231,F231+1,4))</f>
        <v>30</v>
      </c>
    </row>
    <row r="232" spans="1:10" hidden="1" x14ac:dyDescent="0.25">
      <c r="A232" t="s">
        <v>230</v>
      </c>
      <c r="B232" t="s">
        <v>618</v>
      </c>
      <c r="C232" t="str">
        <f>IF(RIGHT(B232,5)="22,22","VIC20","")</f>
        <v/>
      </c>
      <c r="D232">
        <f>SEARCH(",",B232)</f>
        <v>2</v>
      </c>
      <c r="E232">
        <f>SEARCH(",",B232,D232+1)</f>
        <v>4</v>
      </c>
      <c r="F232">
        <f>SEARCH(",",B232,E232+1)</f>
        <v>7</v>
      </c>
      <c r="G232">
        <f>VALUE(MID(B232,1,D232-1))</f>
        <v>3</v>
      </c>
      <c r="H232">
        <f>VALUE(MID(B232,D232+1,E232-D232-1))</f>
        <v>4</v>
      </c>
      <c r="I232">
        <f>VALUE(MID(B232,E232+1,F232-E232-1))</f>
        <v>16</v>
      </c>
      <c r="J232">
        <f>VALUE(MID(B232,F232+1,4))</f>
        <v>24</v>
      </c>
    </row>
    <row r="233" spans="1:10" hidden="1" x14ac:dyDescent="0.25">
      <c r="A233" t="s">
        <v>231</v>
      </c>
      <c r="B233" t="s">
        <v>572</v>
      </c>
      <c r="C233" t="str">
        <f>IF(RIGHT(B233,5)="22,22","VIC20","")</f>
        <v/>
      </c>
      <c r="D233">
        <f>SEARCH(",",B233)</f>
        <v>2</v>
      </c>
      <c r="E233">
        <f>SEARCH(",",B233,D233+1)</f>
        <v>4</v>
      </c>
      <c r="F233">
        <f>SEARCH(",",B233,E233+1)</f>
        <v>6</v>
      </c>
      <c r="G233">
        <f>VALUE(MID(B233,1,D233-1))</f>
        <v>0</v>
      </c>
      <c r="H233">
        <f>VALUE(MID(B233,D233+1,E233-D233-1))</f>
        <v>0</v>
      </c>
      <c r="I233">
        <f>VALUE(MID(B233,E233+1,F233-E233-1))</f>
        <v>8</v>
      </c>
      <c r="J233">
        <f>VALUE(MID(B233,F233+1,4))</f>
        <v>32</v>
      </c>
    </row>
    <row r="234" spans="1:10" x14ac:dyDescent="0.25">
      <c r="A234" t="s">
        <v>458</v>
      </c>
      <c r="B234" t="s">
        <v>552</v>
      </c>
      <c r="C234" t="s">
        <v>544</v>
      </c>
      <c r="D234">
        <f>SEARCH(",",B234)</f>
        <v>2</v>
      </c>
      <c r="E234">
        <f>SEARCH(",",B234,D234+1)</f>
        <v>4</v>
      </c>
      <c r="F234">
        <f>SEARCH(",",B234,E234+1)</f>
        <v>7</v>
      </c>
      <c r="G234">
        <f>VALUE(MID(B234,1,D234-1))</f>
        <v>1</v>
      </c>
      <c r="H234">
        <f>VALUE(MID(B234,D234+1,E234-D234-1))</f>
        <v>1</v>
      </c>
      <c r="I234">
        <f>VALUE(MID(B234,E234+1,F234-E234-1))</f>
        <v>22</v>
      </c>
      <c r="J234">
        <f>VALUE(MID(B234,F234+1,4))</f>
        <v>22</v>
      </c>
    </row>
    <row r="235" spans="1:10" hidden="1" x14ac:dyDescent="0.25">
      <c r="A235" t="s">
        <v>233</v>
      </c>
      <c r="B235" t="s">
        <v>548</v>
      </c>
      <c r="C235" t="str">
        <f>IF(RIGHT(B235,5)="22,22","VIC20","")</f>
        <v/>
      </c>
      <c r="D235">
        <f>SEARCH(",",B235)</f>
        <v>2</v>
      </c>
      <c r="E235">
        <f>SEARCH(",",B235,D235+1)</f>
        <v>4</v>
      </c>
      <c r="F235">
        <f>SEARCH(",",B235,E235+1)</f>
        <v>7</v>
      </c>
      <c r="G235">
        <f>VALUE(MID(B235,1,D235-1))</f>
        <v>1</v>
      </c>
      <c r="H235">
        <f>VALUE(MID(B235,D235+1,E235-D235-1))</f>
        <v>1</v>
      </c>
      <c r="I235">
        <f>VALUE(MID(B235,E235+1,F235-E235-1))</f>
        <v>22</v>
      </c>
      <c r="J235">
        <f>VALUE(MID(B235,F235+1,4))</f>
        <v>30</v>
      </c>
    </row>
    <row r="236" spans="1:10" hidden="1" x14ac:dyDescent="0.25">
      <c r="A236" t="s">
        <v>234</v>
      </c>
      <c r="B236" t="s">
        <v>619</v>
      </c>
      <c r="C236" t="str">
        <f>IF(RIGHT(B236,5)="22,22","VIC20","")</f>
        <v/>
      </c>
      <c r="D236">
        <f>SEARCH(",",B236)</f>
        <v>2</v>
      </c>
      <c r="E236">
        <f>SEARCH(",",B236,D236+1)</f>
        <v>4</v>
      </c>
      <c r="F236">
        <f>SEARCH(",",B236,E236+1)</f>
        <v>6</v>
      </c>
      <c r="G236">
        <f>VALUE(MID(B236,1,D236-1))</f>
        <v>1</v>
      </c>
      <c r="H236">
        <f>VALUE(MID(B236,D236+1,E236-D236-1))</f>
        <v>0</v>
      </c>
      <c r="I236">
        <f>VALUE(MID(B236,E236+1,F236-E236-1))</f>
        <v>6</v>
      </c>
      <c r="J236">
        <f>VALUE(MID(B236,F236+1,4))</f>
        <v>32</v>
      </c>
    </row>
    <row r="237" spans="1:10" hidden="1" x14ac:dyDescent="0.25">
      <c r="A237" t="s">
        <v>235</v>
      </c>
      <c r="B237" t="s">
        <v>620</v>
      </c>
      <c r="C237" t="str">
        <f>IF(RIGHT(B237,5)="22,22","VIC20","")</f>
        <v/>
      </c>
      <c r="D237">
        <f>SEARCH(",",B237)</f>
        <v>2</v>
      </c>
      <c r="E237">
        <f>SEARCH(",",B237,D237+1)</f>
        <v>4</v>
      </c>
      <c r="F237">
        <f>SEARCH(",",B237,E237+1)</f>
        <v>7</v>
      </c>
      <c r="G237">
        <f>VALUE(MID(B237,1,D237-1))</f>
        <v>2</v>
      </c>
      <c r="H237">
        <f>VALUE(MID(B237,D237+1,E237-D237-1))</f>
        <v>1</v>
      </c>
      <c r="I237">
        <f>VALUE(MID(B237,E237+1,F237-E237-1))</f>
        <v>16</v>
      </c>
      <c r="J237">
        <f>VALUE(MID(B237,F237+1,4))</f>
        <v>30</v>
      </c>
    </row>
    <row r="238" spans="1:10" hidden="1" x14ac:dyDescent="0.25">
      <c r="A238" t="s">
        <v>236</v>
      </c>
      <c r="B238" t="s">
        <v>621</v>
      </c>
      <c r="C238" t="str">
        <f>IF(RIGHT(B238,5)="22,22","VIC20","")</f>
        <v/>
      </c>
      <c r="D238">
        <f>SEARCH(",",B238)</f>
        <v>2</v>
      </c>
      <c r="E238">
        <f>SEARCH(",",B238,D238+1)</f>
        <v>4</v>
      </c>
      <c r="F238">
        <f>SEARCH(",",B238,E238+1)</f>
        <v>7</v>
      </c>
      <c r="G238">
        <f>VALUE(MID(B238,1,D238-1))</f>
        <v>1</v>
      </c>
      <c r="H238">
        <f>VALUE(MID(B238,D238+1,E238-D238-1))</f>
        <v>0</v>
      </c>
      <c r="I238">
        <f>VALUE(MID(B238,E238+1,F238-E238-1))</f>
        <v>22</v>
      </c>
      <c r="J238">
        <f>VALUE(MID(B238,F238+1,4))</f>
        <v>27</v>
      </c>
    </row>
    <row r="239" spans="1:10" hidden="1" x14ac:dyDescent="0.25">
      <c r="A239" t="s">
        <v>237</v>
      </c>
      <c r="B239" t="s">
        <v>621</v>
      </c>
      <c r="C239" t="str">
        <f>IF(RIGHT(B239,5)="22,22","VIC20","")</f>
        <v/>
      </c>
      <c r="D239">
        <f>SEARCH(",",B239)</f>
        <v>2</v>
      </c>
      <c r="E239">
        <f>SEARCH(",",B239,D239+1)</f>
        <v>4</v>
      </c>
      <c r="F239">
        <f>SEARCH(",",B239,E239+1)</f>
        <v>7</v>
      </c>
      <c r="G239">
        <f>VALUE(MID(B239,1,D239-1))</f>
        <v>1</v>
      </c>
      <c r="H239">
        <f>VALUE(MID(B239,D239+1,E239-D239-1))</f>
        <v>0</v>
      </c>
      <c r="I239">
        <f>VALUE(MID(B239,E239+1,F239-E239-1))</f>
        <v>22</v>
      </c>
      <c r="J239">
        <f>VALUE(MID(B239,F239+1,4))</f>
        <v>27</v>
      </c>
    </row>
    <row r="240" spans="1:10" hidden="1" x14ac:dyDescent="0.25">
      <c r="A240" t="s">
        <v>238</v>
      </c>
      <c r="B240" t="s">
        <v>553</v>
      </c>
      <c r="C240" t="str">
        <f>IF(RIGHT(B240,5)="22,22","VIC20","")</f>
        <v/>
      </c>
      <c r="D240">
        <f>SEARCH(",",B240)</f>
        <v>2</v>
      </c>
      <c r="E240">
        <f>SEARCH(",",B240,D240+1)</f>
        <v>4</v>
      </c>
      <c r="F240">
        <f>SEARCH(",",B240,E240+1)</f>
        <v>7</v>
      </c>
      <c r="G240">
        <f>VALUE(MID(B240,1,D240-1))</f>
        <v>1</v>
      </c>
      <c r="H240">
        <f>VALUE(MID(B240,D240+1,E240-D240-1))</f>
        <v>1</v>
      </c>
      <c r="I240">
        <f>VALUE(MID(B240,E240+1,F240-E240-1))</f>
        <v>19</v>
      </c>
      <c r="J240">
        <f>VALUE(MID(B240,F240+1,4))</f>
        <v>30</v>
      </c>
    </row>
    <row r="241" spans="1:10" hidden="1" x14ac:dyDescent="0.25">
      <c r="A241" t="s">
        <v>239</v>
      </c>
      <c r="B241" t="s">
        <v>570</v>
      </c>
      <c r="C241" t="str">
        <f>IF(RIGHT(B241,5)="22,22","VIC20","")</f>
        <v/>
      </c>
      <c r="D241">
        <f>SEARCH(",",B241)</f>
        <v>2</v>
      </c>
      <c r="E241">
        <f>SEARCH(",",B241,D241+1)</f>
        <v>4</v>
      </c>
      <c r="F241">
        <f>SEARCH(",",B241,E241+1)</f>
        <v>7</v>
      </c>
      <c r="G241">
        <f>VALUE(MID(B241,1,D241-1))</f>
        <v>2</v>
      </c>
      <c r="H241">
        <f>VALUE(MID(B241,D241+1,E241-D241-1))</f>
        <v>1</v>
      </c>
      <c r="I241">
        <f>VALUE(MID(B241,E241+1,F241-E241-1))</f>
        <v>21</v>
      </c>
      <c r="J241">
        <f>VALUE(MID(B241,F241+1,4))</f>
        <v>30</v>
      </c>
    </row>
    <row r="242" spans="1:10" hidden="1" x14ac:dyDescent="0.25">
      <c r="A242" t="s">
        <v>240</v>
      </c>
      <c r="B242" t="s">
        <v>594</v>
      </c>
      <c r="C242" t="str">
        <f>IF(RIGHT(B242,5)="22,22","VIC20","")</f>
        <v/>
      </c>
      <c r="D242">
        <f>SEARCH(",",B242)</f>
        <v>2</v>
      </c>
      <c r="E242">
        <f>SEARCH(",",B242,D242+1)</f>
        <v>4</v>
      </c>
      <c r="F242">
        <f>SEARCH(",",B242,E242+1)</f>
        <v>7</v>
      </c>
      <c r="G242">
        <f>VALUE(MID(B242,1,D242-1))</f>
        <v>1</v>
      </c>
      <c r="H242">
        <f>VALUE(MID(B242,D242+1,E242-D242-1))</f>
        <v>1</v>
      </c>
      <c r="I242">
        <f>VALUE(MID(B242,E242+1,F242-E242-1))</f>
        <v>21</v>
      </c>
      <c r="J242">
        <f>VALUE(MID(B242,F242+1,4))</f>
        <v>30</v>
      </c>
    </row>
    <row r="243" spans="1:10" hidden="1" x14ac:dyDescent="0.25">
      <c r="A243" t="s">
        <v>241</v>
      </c>
      <c r="B243" t="s">
        <v>622</v>
      </c>
      <c r="C243" t="str">
        <f>IF(RIGHT(B243,5)="22,22","VIC20","")</f>
        <v/>
      </c>
      <c r="D243">
        <f>SEARCH(",",B243)</f>
        <v>2</v>
      </c>
      <c r="E243">
        <f>SEARCH(",",B243,D243+1)</f>
        <v>4</v>
      </c>
      <c r="F243">
        <f>SEARCH(",",B243,E243+1)</f>
        <v>7</v>
      </c>
      <c r="G243">
        <f>VALUE(MID(B243,1,D243-1))</f>
        <v>0</v>
      </c>
      <c r="H243">
        <f>VALUE(MID(B243,D243+1,E243-D243-1))</f>
        <v>0</v>
      </c>
      <c r="I243">
        <f>VALUE(MID(B243,E243+1,F243-E243-1))</f>
        <v>22</v>
      </c>
      <c r="J243">
        <f>VALUE(MID(B243,F243+1,4))</f>
        <v>32</v>
      </c>
    </row>
    <row r="244" spans="1:10" hidden="1" x14ac:dyDescent="0.25">
      <c r="A244" t="s">
        <v>242</v>
      </c>
      <c r="B244" t="s">
        <v>609</v>
      </c>
      <c r="C244" t="str">
        <f>IF(RIGHT(B244,5)="22,22","VIC20","")</f>
        <v/>
      </c>
      <c r="D244">
        <f>SEARCH(",",B244)</f>
        <v>2</v>
      </c>
      <c r="E244">
        <f>SEARCH(",",B244,D244+1)</f>
        <v>4</v>
      </c>
      <c r="F244">
        <f>SEARCH(",",B244,E244+1)</f>
        <v>7</v>
      </c>
      <c r="G244">
        <f>VALUE(MID(B244,1,D244-1))</f>
        <v>3</v>
      </c>
      <c r="H244">
        <f>VALUE(MID(B244,D244+1,E244-D244-1))</f>
        <v>1</v>
      </c>
      <c r="I244">
        <f>VALUE(MID(B244,E244+1,F244-E244-1))</f>
        <v>19</v>
      </c>
      <c r="J244">
        <f>VALUE(MID(B244,F244+1,4))</f>
        <v>30</v>
      </c>
    </row>
    <row r="245" spans="1:10" hidden="1" x14ac:dyDescent="0.25">
      <c r="A245" t="s">
        <v>243</v>
      </c>
      <c r="B245" t="s">
        <v>623</v>
      </c>
      <c r="C245" t="str">
        <f>IF(RIGHT(B245,5)="22,22","VIC20","")</f>
        <v/>
      </c>
      <c r="D245">
        <f>SEARCH(",",B245)</f>
        <v>2</v>
      </c>
      <c r="E245">
        <f>SEARCH(",",B245,D245+1)</f>
        <v>4</v>
      </c>
      <c r="F245">
        <f>SEARCH(",",B245,E245+1)</f>
        <v>7</v>
      </c>
      <c r="G245">
        <f>VALUE(MID(B245,1,D245-1))</f>
        <v>1</v>
      </c>
      <c r="H245">
        <f>VALUE(MID(B245,D245+1,E245-D245-1))</f>
        <v>0</v>
      </c>
      <c r="I245">
        <f>VALUE(MID(B245,E245+1,F245-E245-1))</f>
        <v>21</v>
      </c>
      <c r="J245">
        <f>VALUE(MID(B245,F245+1,4))</f>
        <v>32</v>
      </c>
    </row>
    <row r="246" spans="1:10" hidden="1" x14ac:dyDescent="0.25">
      <c r="A246" t="s">
        <v>244</v>
      </c>
      <c r="B246" t="s">
        <v>554</v>
      </c>
      <c r="C246" t="str">
        <f>IF(RIGHT(B246,5)="22,22","VIC20","")</f>
        <v/>
      </c>
      <c r="D246">
        <f>SEARCH(",",B246)</f>
        <v>2</v>
      </c>
      <c r="E246">
        <f>SEARCH(",",B246,D246+1)</f>
        <v>4</v>
      </c>
      <c r="F246">
        <f>SEARCH(",",B246,E246+1)</f>
        <v>7</v>
      </c>
      <c r="G246">
        <f>VALUE(MID(B246,1,D246-1))</f>
        <v>1</v>
      </c>
      <c r="H246">
        <f>VALUE(MID(B246,D246+1,E246-D246-1))</f>
        <v>1</v>
      </c>
      <c r="I246">
        <f>VALUE(MID(B246,E246+1,F246-E246-1))</f>
        <v>20</v>
      </c>
      <c r="J246">
        <f>VALUE(MID(B246,F246+1,4))</f>
        <v>30</v>
      </c>
    </row>
    <row r="247" spans="1:10" hidden="1" x14ac:dyDescent="0.25">
      <c r="A247" t="s">
        <v>245</v>
      </c>
      <c r="B247" t="s">
        <v>570</v>
      </c>
      <c r="C247" t="str">
        <f>IF(RIGHT(B247,5)="22,22","VIC20","")</f>
        <v/>
      </c>
      <c r="D247">
        <f>SEARCH(",",B247)</f>
        <v>2</v>
      </c>
      <c r="E247">
        <f>SEARCH(",",B247,D247+1)</f>
        <v>4</v>
      </c>
      <c r="F247">
        <f>SEARCH(",",B247,E247+1)</f>
        <v>7</v>
      </c>
      <c r="G247">
        <f>VALUE(MID(B247,1,D247-1))</f>
        <v>2</v>
      </c>
      <c r="H247">
        <f>VALUE(MID(B247,D247+1,E247-D247-1))</f>
        <v>1</v>
      </c>
      <c r="I247">
        <f>VALUE(MID(B247,E247+1,F247-E247-1))</f>
        <v>21</v>
      </c>
      <c r="J247">
        <f>VALUE(MID(B247,F247+1,4))</f>
        <v>30</v>
      </c>
    </row>
    <row r="248" spans="1:10" hidden="1" x14ac:dyDescent="0.25">
      <c r="A248" t="s">
        <v>246</v>
      </c>
      <c r="B248" t="s">
        <v>624</v>
      </c>
      <c r="C248" t="str">
        <f>IF(RIGHT(B248,5)="22,22","VIC20","")</f>
        <v/>
      </c>
      <c r="D248">
        <f>SEARCH(",",B248)</f>
        <v>2</v>
      </c>
      <c r="E248">
        <f>SEARCH(",",B248,D248+1)</f>
        <v>4</v>
      </c>
      <c r="F248">
        <f>SEARCH(",",B248,E248+1)</f>
        <v>7</v>
      </c>
      <c r="G248">
        <f>VALUE(MID(B248,1,D248-1))</f>
        <v>4</v>
      </c>
      <c r="H248">
        <f>VALUE(MID(B248,D248+1,E248-D248-1))</f>
        <v>1</v>
      </c>
      <c r="I248">
        <f>VALUE(MID(B248,E248+1,F248-E248-1))</f>
        <v>19</v>
      </c>
      <c r="J248">
        <f>VALUE(MID(B248,F248+1,4))</f>
        <v>30</v>
      </c>
    </row>
    <row r="249" spans="1:10" hidden="1" x14ac:dyDescent="0.25">
      <c r="A249" t="s">
        <v>247</v>
      </c>
      <c r="B249" t="s">
        <v>602</v>
      </c>
      <c r="C249" t="str">
        <f>IF(RIGHT(B249,5)="22,22","VIC20","")</f>
        <v/>
      </c>
      <c r="D249">
        <f>SEARCH(",",B249)</f>
        <v>2</v>
      </c>
      <c r="E249">
        <f>SEARCH(",",B249,D249+1)</f>
        <v>4</v>
      </c>
      <c r="F249">
        <f>SEARCH(",",B249,E249+1)</f>
        <v>7</v>
      </c>
      <c r="G249">
        <f>VALUE(MID(B249,1,D249-1))</f>
        <v>2</v>
      </c>
      <c r="H249">
        <f>VALUE(MID(B249,D249+1,E249-D249-1))</f>
        <v>1</v>
      </c>
      <c r="I249">
        <f>VALUE(MID(B249,E249+1,F249-E249-1))</f>
        <v>20</v>
      </c>
      <c r="J249">
        <f>VALUE(MID(B249,F249+1,4))</f>
        <v>30</v>
      </c>
    </row>
    <row r="250" spans="1:10" hidden="1" x14ac:dyDescent="0.25">
      <c r="A250" t="s">
        <v>248</v>
      </c>
      <c r="B250" t="s">
        <v>548</v>
      </c>
      <c r="C250" t="str">
        <f>IF(RIGHT(B250,5)="22,22","VIC20","")</f>
        <v/>
      </c>
      <c r="D250">
        <f>SEARCH(",",B250)</f>
        <v>2</v>
      </c>
      <c r="E250">
        <f>SEARCH(",",B250,D250+1)</f>
        <v>4</v>
      </c>
      <c r="F250">
        <f>SEARCH(",",B250,E250+1)</f>
        <v>7</v>
      </c>
      <c r="G250">
        <f>VALUE(MID(B250,1,D250-1))</f>
        <v>1</v>
      </c>
      <c r="H250">
        <f>VALUE(MID(B250,D250+1,E250-D250-1))</f>
        <v>1</v>
      </c>
      <c r="I250">
        <f>VALUE(MID(B250,E250+1,F250-E250-1))</f>
        <v>22</v>
      </c>
      <c r="J250">
        <f>VALUE(MID(B250,F250+1,4))</f>
        <v>30</v>
      </c>
    </row>
    <row r="251" spans="1:10" hidden="1" x14ac:dyDescent="0.25">
      <c r="A251" t="s">
        <v>249</v>
      </c>
      <c r="B251" t="s">
        <v>574</v>
      </c>
      <c r="C251" t="str">
        <f>IF(RIGHT(B251,5)="22,22","VIC20","")</f>
        <v/>
      </c>
      <c r="D251">
        <f>SEARCH(",",B251)</f>
        <v>2</v>
      </c>
      <c r="E251">
        <f>SEARCH(",",B251,D251+1)</f>
        <v>4</v>
      </c>
      <c r="F251">
        <f>SEARCH(",",B251,E251+1)</f>
        <v>7</v>
      </c>
      <c r="G251">
        <f>VALUE(MID(B251,1,D251-1))</f>
        <v>2</v>
      </c>
      <c r="H251">
        <f>VALUE(MID(B251,D251+1,E251-D251-1))</f>
        <v>0</v>
      </c>
      <c r="I251">
        <f>VALUE(MID(B251,E251+1,F251-E251-1))</f>
        <v>20</v>
      </c>
      <c r="J251">
        <f>VALUE(MID(B251,F251+1,4))</f>
        <v>32</v>
      </c>
    </row>
    <row r="252" spans="1:10" hidden="1" x14ac:dyDescent="0.25">
      <c r="A252" t="s">
        <v>250</v>
      </c>
      <c r="B252" t="s">
        <v>570</v>
      </c>
      <c r="C252" t="str">
        <f>IF(RIGHT(B252,5)="22,22","VIC20","")</f>
        <v/>
      </c>
      <c r="D252">
        <f>SEARCH(",",B252)</f>
        <v>2</v>
      </c>
      <c r="E252">
        <f>SEARCH(",",B252,D252+1)</f>
        <v>4</v>
      </c>
      <c r="F252">
        <f>SEARCH(",",B252,E252+1)</f>
        <v>7</v>
      </c>
      <c r="G252">
        <f>VALUE(MID(B252,1,D252-1))</f>
        <v>2</v>
      </c>
      <c r="H252">
        <f>VALUE(MID(B252,D252+1,E252-D252-1))</f>
        <v>1</v>
      </c>
      <c r="I252">
        <f>VALUE(MID(B252,E252+1,F252-E252-1))</f>
        <v>21</v>
      </c>
      <c r="J252">
        <f>VALUE(MID(B252,F252+1,4))</f>
        <v>30</v>
      </c>
    </row>
    <row r="253" spans="1:10" hidden="1" x14ac:dyDescent="0.25">
      <c r="A253" t="s">
        <v>251</v>
      </c>
      <c r="B253" t="s">
        <v>625</v>
      </c>
      <c r="C253" t="str">
        <f>IF(RIGHT(B253,5)="22,22","VIC20","")</f>
        <v/>
      </c>
      <c r="D253">
        <f>SEARCH(",",B253)</f>
        <v>2</v>
      </c>
      <c r="E253">
        <f>SEARCH(",",B253,D253+1)</f>
        <v>4</v>
      </c>
      <c r="F253">
        <f>SEARCH(",",B253,E253+1)</f>
        <v>7</v>
      </c>
      <c r="G253">
        <f>VALUE(MID(B253,1,D253-1))</f>
        <v>5</v>
      </c>
      <c r="H253">
        <f>VALUE(MID(B253,D253+1,E253-D253-1))</f>
        <v>1</v>
      </c>
      <c r="I253">
        <f>VALUE(MID(B253,E253+1,F253-E253-1))</f>
        <v>14</v>
      </c>
      <c r="J253">
        <f>VALUE(MID(B253,F253+1,4))</f>
        <v>30</v>
      </c>
    </row>
    <row r="254" spans="1:10" hidden="1" x14ac:dyDescent="0.25">
      <c r="A254" t="s">
        <v>252</v>
      </c>
      <c r="B254" t="s">
        <v>582</v>
      </c>
      <c r="C254" t="str">
        <f>IF(RIGHT(B254,5)="22,22","VIC20","")</f>
        <v/>
      </c>
      <c r="D254">
        <f>SEARCH(",",B254)</f>
        <v>2</v>
      </c>
      <c r="E254">
        <f>SEARCH(",",B254,D254+1)</f>
        <v>4</v>
      </c>
      <c r="F254">
        <f>SEARCH(",",B254,E254+1)</f>
        <v>7</v>
      </c>
      <c r="G254">
        <f>VALUE(MID(B254,1,D254-1))</f>
        <v>0</v>
      </c>
      <c r="H254">
        <f>VALUE(MID(B254,D254+1,E254-D254-1))</f>
        <v>0</v>
      </c>
      <c r="I254">
        <f>VALUE(MID(B254,E254+1,F254-E254-1))</f>
        <v>20</v>
      </c>
      <c r="J254">
        <f>VALUE(MID(B254,F254+1,4))</f>
        <v>32</v>
      </c>
    </row>
    <row r="255" spans="1:10" hidden="1" x14ac:dyDescent="0.25">
      <c r="A255" t="s">
        <v>253</v>
      </c>
      <c r="B255" t="s">
        <v>574</v>
      </c>
      <c r="C255" t="str">
        <f>IF(RIGHT(B255,5)="22,22","VIC20","")</f>
        <v/>
      </c>
      <c r="D255">
        <f>SEARCH(",",B255)</f>
        <v>2</v>
      </c>
      <c r="E255">
        <f>SEARCH(",",B255,D255+1)</f>
        <v>4</v>
      </c>
      <c r="F255">
        <f>SEARCH(",",B255,E255+1)</f>
        <v>7</v>
      </c>
      <c r="G255">
        <f>VALUE(MID(B255,1,D255-1))</f>
        <v>2</v>
      </c>
      <c r="H255">
        <f>VALUE(MID(B255,D255+1,E255-D255-1))</f>
        <v>0</v>
      </c>
      <c r="I255">
        <f>VALUE(MID(B255,E255+1,F255-E255-1))</f>
        <v>20</v>
      </c>
      <c r="J255">
        <f>VALUE(MID(B255,F255+1,4))</f>
        <v>32</v>
      </c>
    </row>
    <row r="256" spans="1:10" hidden="1" x14ac:dyDescent="0.25">
      <c r="A256" t="s">
        <v>254</v>
      </c>
      <c r="B256" t="s">
        <v>554</v>
      </c>
      <c r="C256" t="str">
        <f>IF(RIGHT(B256,5)="22,22","VIC20","")</f>
        <v/>
      </c>
      <c r="D256">
        <f>SEARCH(",",B256)</f>
        <v>2</v>
      </c>
      <c r="E256">
        <f>SEARCH(",",B256,D256+1)</f>
        <v>4</v>
      </c>
      <c r="F256">
        <f>SEARCH(",",B256,E256+1)</f>
        <v>7</v>
      </c>
      <c r="G256">
        <f>VALUE(MID(B256,1,D256-1))</f>
        <v>1</v>
      </c>
      <c r="H256">
        <f>VALUE(MID(B256,D256+1,E256-D256-1))</f>
        <v>1</v>
      </c>
      <c r="I256">
        <f>VALUE(MID(B256,E256+1,F256-E256-1))</f>
        <v>20</v>
      </c>
      <c r="J256">
        <f>VALUE(MID(B256,F256+1,4))</f>
        <v>30</v>
      </c>
    </row>
    <row r="257" spans="1:10" x14ac:dyDescent="0.25">
      <c r="A257" t="s">
        <v>133</v>
      </c>
      <c r="B257" t="s">
        <v>552</v>
      </c>
      <c r="C257" t="s">
        <v>544</v>
      </c>
      <c r="D257">
        <f>SEARCH(",",B257)</f>
        <v>2</v>
      </c>
      <c r="E257">
        <f>SEARCH(",",B257,D257+1)</f>
        <v>4</v>
      </c>
      <c r="F257">
        <f>SEARCH(",",B257,E257+1)</f>
        <v>7</v>
      </c>
      <c r="G257">
        <f>VALUE(MID(B257,1,D257-1))</f>
        <v>1</v>
      </c>
      <c r="H257">
        <f>VALUE(MID(B257,D257+1,E257-D257-1))</f>
        <v>1</v>
      </c>
      <c r="I257">
        <f>VALUE(MID(B257,E257+1,F257-E257-1))</f>
        <v>22</v>
      </c>
      <c r="J257">
        <f>VALUE(MID(B257,F257+1,4))</f>
        <v>22</v>
      </c>
    </row>
    <row r="258" spans="1:10" hidden="1" x14ac:dyDescent="0.25">
      <c r="A258" t="s">
        <v>256</v>
      </c>
      <c r="B258" t="s">
        <v>594</v>
      </c>
      <c r="C258" t="str">
        <f>IF(RIGHT(B258,5)="22,22","VIC20","")</f>
        <v/>
      </c>
      <c r="D258">
        <f>SEARCH(",",B258)</f>
        <v>2</v>
      </c>
      <c r="E258">
        <f>SEARCH(",",B258,D258+1)</f>
        <v>4</v>
      </c>
      <c r="F258">
        <f>SEARCH(",",B258,E258+1)</f>
        <v>7</v>
      </c>
      <c r="G258">
        <f>VALUE(MID(B258,1,D258-1))</f>
        <v>1</v>
      </c>
      <c r="H258">
        <f>VALUE(MID(B258,D258+1,E258-D258-1))</f>
        <v>1</v>
      </c>
      <c r="I258">
        <f>VALUE(MID(B258,E258+1,F258-E258-1))</f>
        <v>21</v>
      </c>
      <c r="J258">
        <f>VALUE(MID(B258,F258+1,4))</f>
        <v>30</v>
      </c>
    </row>
    <row r="259" spans="1:10" x14ac:dyDescent="0.25">
      <c r="A259" t="s">
        <v>140</v>
      </c>
      <c r="B259" t="s">
        <v>552</v>
      </c>
      <c r="C259" t="s">
        <v>544</v>
      </c>
      <c r="D259">
        <f>SEARCH(",",B259)</f>
        <v>2</v>
      </c>
      <c r="E259">
        <f>SEARCH(",",B259,D259+1)</f>
        <v>4</v>
      </c>
      <c r="F259">
        <f>SEARCH(",",B259,E259+1)</f>
        <v>7</v>
      </c>
      <c r="G259">
        <f>VALUE(MID(B259,1,D259-1))</f>
        <v>1</v>
      </c>
      <c r="H259">
        <f>VALUE(MID(B259,D259+1,E259-D259-1))</f>
        <v>1</v>
      </c>
      <c r="I259">
        <f>VALUE(MID(B259,E259+1,F259-E259-1))</f>
        <v>22</v>
      </c>
      <c r="J259">
        <f>VALUE(MID(B259,F259+1,4))</f>
        <v>22</v>
      </c>
    </row>
    <row r="260" spans="1:10" hidden="1" x14ac:dyDescent="0.25">
      <c r="A260" t="s">
        <v>258</v>
      </c>
      <c r="B260" t="s">
        <v>548</v>
      </c>
      <c r="C260" t="str">
        <f>IF(RIGHT(B260,5)="22,22","VIC20","")</f>
        <v/>
      </c>
      <c r="D260">
        <f>SEARCH(",",B260)</f>
        <v>2</v>
      </c>
      <c r="E260">
        <f>SEARCH(",",B260,D260+1)</f>
        <v>4</v>
      </c>
      <c r="F260">
        <f>SEARCH(",",B260,E260+1)</f>
        <v>7</v>
      </c>
      <c r="G260">
        <f>VALUE(MID(B260,1,D260-1))</f>
        <v>1</v>
      </c>
      <c r="H260">
        <f>VALUE(MID(B260,D260+1,E260-D260-1))</f>
        <v>1</v>
      </c>
      <c r="I260">
        <f>VALUE(MID(B260,E260+1,F260-E260-1))</f>
        <v>22</v>
      </c>
      <c r="J260">
        <f>VALUE(MID(B260,F260+1,4))</f>
        <v>30</v>
      </c>
    </row>
    <row r="261" spans="1:10" hidden="1" x14ac:dyDescent="0.25">
      <c r="A261" t="s">
        <v>259</v>
      </c>
      <c r="B261" t="s">
        <v>548</v>
      </c>
      <c r="C261" t="str">
        <f>IF(RIGHT(B261,5)="22,22","VIC20","")</f>
        <v/>
      </c>
      <c r="D261">
        <f>SEARCH(",",B261)</f>
        <v>2</v>
      </c>
      <c r="E261">
        <f>SEARCH(",",B261,D261+1)</f>
        <v>4</v>
      </c>
      <c r="F261">
        <f>SEARCH(",",B261,E261+1)</f>
        <v>7</v>
      </c>
      <c r="G261">
        <f>VALUE(MID(B261,1,D261-1))</f>
        <v>1</v>
      </c>
      <c r="H261">
        <f>VALUE(MID(B261,D261+1,E261-D261-1))</f>
        <v>1</v>
      </c>
      <c r="I261">
        <f>VALUE(MID(B261,E261+1,F261-E261-1))</f>
        <v>22</v>
      </c>
      <c r="J261">
        <f>VALUE(MID(B261,F261+1,4))</f>
        <v>30</v>
      </c>
    </row>
    <row r="262" spans="1:10" hidden="1" x14ac:dyDescent="0.25">
      <c r="A262" t="s">
        <v>260</v>
      </c>
      <c r="B262" t="s">
        <v>603</v>
      </c>
      <c r="C262" t="str">
        <f>IF(RIGHT(B262,5)="22,22","VIC20","")</f>
        <v/>
      </c>
      <c r="D262">
        <f>SEARCH(",",B262)</f>
        <v>2</v>
      </c>
      <c r="E262">
        <f>SEARCH(",",B262,D262+1)</f>
        <v>4</v>
      </c>
      <c r="F262">
        <f>SEARCH(",",B262,E262+1)</f>
        <v>7</v>
      </c>
      <c r="G262">
        <f>VALUE(MID(B262,1,D262-1))</f>
        <v>0</v>
      </c>
      <c r="H262">
        <f>VALUE(MID(B262,D262+1,E262-D262-1))</f>
        <v>0</v>
      </c>
      <c r="I262">
        <f>VALUE(MID(B262,E262+1,F262-E262-1))</f>
        <v>21</v>
      </c>
      <c r="J262">
        <f>VALUE(MID(B262,F262+1,4))</f>
        <v>30</v>
      </c>
    </row>
    <row r="263" spans="1:10" hidden="1" x14ac:dyDescent="0.25">
      <c r="A263" t="s">
        <v>261</v>
      </c>
      <c r="B263" t="s">
        <v>627</v>
      </c>
      <c r="C263" t="str">
        <f>IF(RIGHT(B263,5)="22,22","VIC20","")</f>
        <v/>
      </c>
      <c r="D263">
        <f>SEARCH(",",B263)</f>
        <v>2</v>
      </c>
      <c r="E263">
        <f>SEARCH(",",B263,D263+1)</f>
        <v>4</v>
      </c>
      <c r="F263">
        <f>SEARCH(",",B263,E263+1)</f>
        <v>7</v>
      </c>
      <c r="G263">
        <f>VALUE(MID(B263,1,D263-1))</f>
        <v>3</v>
      </c>
      <c r="H263">
        <f>VALUE(MID(B263,D263+1,E263-D263-1))</f>
        <v>2</v>
      </c>
      <c r="I263">
        <f>VALUE(MID(B263,E263+1,F263-E263-1))</f>
        <v>18</v>
      </c>
      <c r="J263">
        <f>VALUE(MID(B263,F263+1,4))</f>
        <v>28</v>
      </c>
    </row>
    <row r="264" spans="1:10" hidden="1" x14ac:dyDescent="0.25">
      <c r="A264" t="s">
        <v>262</v>
      </c>
      <c r="B264" t="s">
        <v>598</v>
      </c>
      <c r="C264" t="str">
        <f>IF(RIGHT(B264,5)="22,22","VIC20","")</f>
        <v/>
      </c>
      <c r="D264">
        <f>SEARCH(",",B264)</f>
        <v>2</v>
      </c>
      <c r="E264">
        <f>SEARCH(",",B264,D264+1)</f>
        <v>4</v>
      </c>
      <c r="F264">
        <f>SEARCH(",",B264,E264+1)</f>
        <v>7</v>
      </c>
      <c r="G264">
        <f>VALUE(MID(B264,1,D264-1))</f>
        <v>0</v>
      </c>
      <c r="H264">
        <f>VALUE(MID(B264,D264+1,E264-D264-1))</f>
        <v>0</v>
      </c>
      <c r="I264">
        <f>VALUE(MID(B264,E264+1,F264-E264-1))</f>
        <v>24</v>
      </c>
      <c r="J264">
        <f>VALUE(MID(B264,F264+1,4))</f>
        <v>32</v>
      </c>
    </row>
    <row r="265" spans="1:10" hidden="1" x14ac:dyDescent="0.25">
      <c r="A265" t="s">
        <v>263</v>
      </c>
      <c r="B265" t="s">
        <v>628</v>
      </c>
      <c r="C265" t="str">
        <f>IF(RIGHT(B265,5)="22,22","VIC20","")</f>
        <v/>
      </c>
      <c r="D265">
        <f>SEARCH(",",B265)</f>
        <v>2</v>
      </c>
      <c r="E265">
        <f>SEARCH(",",B265,D265+1)</f>
        <v>4</v>
      </c>
      <c r="F265">
        <f>SEARCH(",",B265,E265+1)</f>
        <v>7</v>
      </c>
      <c r="G265">
        <f>VALUE(MID(B265,1,D265-1))</f>
        <v>1</v>
      </c>
      <c r="H265">
        <f>VALUE(MID(B265,D265+1,E265-D265-1))</f>
        <v>1</v>
      </c>
      <c r="I265">
        <f>VALUE(MID(B265,E265+1,F265-E265-1))</f>
        <v>22</v>
      </c>
      <c r="J265">
        <f>VALUE(MID(B265,F265+1,4))</f>
        <v>29</v>
      </c>
    </row>
    <row r="266" spans="1:10" hidden="1" x14ac:dyDescent="0.25">
      <c r="A266" t="s">
        <v>264</v>
      </c>
      <c r="B266" t="s">
        <v>628</v>
      </c>
      <c r="C266" t="str">
        <f>IF(RIGHT(B266,5)="22,22","VIC20","")</f>
        <v/>
      </c>
      <c r="D266">
        <f>SEARCH(",",B266)</f>
        <v>2</v>
      </c>
      <c r="E266">
        <f>SEARCH(",",B266,D266+1)</f>
        <v>4</v>
      </c>
      <c r="F266">
        <f>SEARCH(",",B266,E266+1)</f>
        <v>7</v>
      </c>
      <c r="G266">
        <f>VALUE(MID(B266,1,D266-1))</f>
        <v>1</v>
      </c>
      <c r="H266">
        <f>VALUE(MID(B266,D266+1,E266-D266-1))</f>
        <v>1</v>
      </c>
      <c r="I266">
        <f>VALUE(MID(B266,E266+1,F266-E266-1))</f>
        <v>22</v>
      </c>
      <c r="J266">
        <f>VALUE(MID(B266,F266+1,4))</f>
        <v>29</v>
      </c>
    </row>
    <row r="267" spans="1:10" x14ac:dyDescent="0.25">
      <c r="A267" t="s">
        <v>498</v>
      </c>
      <c r="B267" t="s">
        <v>552</v>
      </c>
      <c r="C267" t="s">
        <v>544</v>
      </c>
      <c r="D267">
        <f>SEARCH(",",B267)</f>
        <v>2</v>
      </c>
      <c r="E267">
        <f>SEARCH(",",B267,D267+1)</f>
        <v>4</v>
      </c>
      <c r="F267">
        <f>SEARCH(",",B267,E267+1)</f>
        <v>7</v>
      </c>
      <c r="G267">
        <f>VALUE(MID(B267,1,D267-1))</f>
        <v>1</v>
      </c>
      <c r="H267">
        <f>VALUE(MID(B267,D267+1,E267-D267-1))</f>
        <v>1</v>
      </c>
      <c r="I267">
        <f>VALUE(MID(B267,E267+1,F267-E267-1))</f>
        <v>22</v>
      </c>
      <c r="J267">
        <f>VALUE(MID(B267,F267+1,4))</f>
        <v>22</v>
      </c>
    </row>
    <row r="268" spans="1:10" hidden="1" x14ac:dyDescent="0.25">
      <c r="A268" t="s">
        <v>266</v>
      </c>
      <c r="B268" t="s">
        <v>546</v>
      </c>
      <c r="C268" t="str">
        <f>IF(RIGHT(B268,5)="22,22","VIC20","")</f>
        <v/>
      </c>
      <c r="D268">
        <f>SEARCH(",",B268)</f>
        <v>2</v>
      </c>
      <c r="E268">
        <f>SEARCH(",",B268,D268+1)</f>
        <v>4</v>
      </c>
      <c r="F268">
        <f>SEARCH(",",B268,E268+1)</f>
        <v>7</v>
      </c>
      <c r="G268">
        <f>VALUE(MID(B268,1,D268-1))</f>
        <v>1</v>
      </c>
      <c r="H268">
        <f>VALUE(MID(B268,D268+1,E268-D268-1))</f>
        <v>0</v>
      </c>
      <c r="I268">
        <f>VALUE(MID(B268,E268+1,F268-E268-1))</f>
        <v>23</v>
      </c>
      <c r="J268">
        <f>VALUE(MID(B268,F268+1,4))</f>
        <v>32</v>
      </c>
    </row>
    <row r="269" spans="1:10" hidden="1" x14ac:dyDescent="0.25">
      <c r="A269" t="s">
        <v>267</v>
      </c>
      <c r="B269" t="s">
        <v>621</v>
      </c>
      <c r="C269" t="str">
        <f>IF(RIGHT(B269,5)="22,22","VIC20","")</f>
        <v/>
      </c>
      <c r="D269">
        <f>SEARCH(",",B269)</f>
        <v>2</v>
      </c>
      <c r="E269">
        <f>SEARCH(",",B269,D269+1)</f>
        <v>4</v>
      </c>
      <c r="F269">
        <f>SEARCH(",",B269,E269+1)</f>
        <v>7</v>
      </c>
      <c r="G269">
        <f>VALUE(MID(B269,1,D269-1))</f>
        <v>1</v>
      </c>
      <c r="H269">
        <f>VALUE(MID(B269,D269+1,E269-D269-1))</f>
        <v>0</v>
      </c>
      <c r="I269">
        <f>VALUE(MID(B269,E269+1,F269-E269-1))</f>
        <v>22</v>
      </c>
      <c r="J269">
        <f>VALUE(MID(B269,F269+1,4))</f>
        <v>27</v>
      </c>
    </row>
    <row r="270" spans="1:10" hidden="1" x14ac:dyDescent="0.25">
      <c r="A270" t="s">
        <v>268</v>
      </c>
      <c r="B270" t="s">
        <v>546</v>
      </c>
      <c r="C270" t="str">
        <f>IF(RIGHT(B270,5)="22,22","VIC20","")</f>
        <v/>
      </c>
      <c r="D270">
        <f>SEARCH(",",B270)</f>
        <v>2</v>
      </c>
      <c r="E270">
        <f>SEARCH(",",B270,D270+1)</f>
        <v>4</v>
      </c>
      <c r="F270">
        <f>SEARCH(",",B270,E270+1)</f>
        <v>7</v>
      </c>
      <c r="G270">
        <f>VALUE(MID(B270,1,D270-1))</f>
        <v>1</v>
      </c>
      <c r="H270">
        <f>VALUE(MID(B270,D270+1,E270-D270-1))</f>
        <v>0</v>
      </c>
      <c r="I270">
        <f>VALUE(MID(B270,E270+1,F270-E270-1))</f>
        <v>23</v>
      </c>
      <c r="J270">
        <f>VALUE(MID(B270,F270+1,4))</f>
        <v>32</v>
      </c>
    </row>
    <row r="271" spans="1:10" hidden="1" x14ac:dyDescent="0.25">
      <c r="A271" t="s">
        <v>269</v>
      </c>
      <c r="B271" t="s">
        <v>546</v>
      </c>
      <c r="C271" t="str">
        <f>IF(RIGHT(B271,5)="22,22","VIC20","")</f>
        <v/>
      </c>
      <c r="D271">
        <f>SEARCH(",",B271)</f>
        <v>2</v>
      </c>
      <c r="E271">
        <f>SEARCH(",",B271,D271+1)</f>
        <v>4</v>
      </c>
      <c r="F271">
        <f>SEARCH(",",B271,E271+1)</f>
        <v>7</v>
      </c>
      <c r="G271">
        <f>VALUE(MID(B271,1,D271-1))</f>
        <v>1</v>
      </c>
      <c r="H271">
        <f>VALUE(MID(B271,D271+1,E271-D271-1))</f>
        <v>0</v>
      </c>
      <c r="I271">
        <f>VALUE(MID(B271,E271+1,F271-E271-1))</f>
        <v>23</v>
      </c>
      <c r="J271">
        <f>VALUE(MID(B271,F271+1,4))</f>
        <v>32</v>
      </c>
    </row>
    <row r="272" spans="1:10" hidden="1" x14ac:dyDescent="0.25">
      <c r="A272" t="s">
        <v>270</v>
      </c>
      <c r="B272" t="s">
        <v>548</v>
      </c>
      <c r="C272" t="str">
        <f>IF(RIGHT(B272,5)="22,22","VIC20","")</f>
        <v/>
      </c>
      <c r="D272">
        <f>SEARCH(",",B272)</f>
        <v>2</v>
      </c>
      <c r="E272">
        <f>SEARCH(",",B272,D272+1)</f>
        <v>4</v>
      </c>
      <c r="F272">
        <f>SEARCH(",",B272,E272+1)</f>
        <v>7</v>
      </c>
      <c r="G272">
        <f>VALUE(MID(B272,1,D272-1))</f>
        <v>1</v>
      </c>
      <c r="H272">
        <f>VALUE(MID(B272,D272+1,E272-D272-1))</f>
        <v>1</v>
      </c>
      <c r="I272">
        <f>VALUE(MID(B272,E272+1,F272-E272-1))</f>
        <v>22</v>
      </c>
      <c r="J272">
        <f>VALUE(MID(B272,F272+1,4))</f>
        <v>30</v>
      </c>
    </row>
    <row r="273" spans="1:10" hidden="1" x14ac:dyDescent="0.25">
      <c r="A273" t="s">
        <v>271</v>
      </c>
      <c r="B273" t="s">
        <v>554</v>
      </c>
      <c r="C273" t="str">
        <f>IF(RIGHT(B273,5)="22,22","VIC20","")</f>
        <v/>
      </c>
      <c r="D273">
        <f>SEARCH(",",B273)</f>
        <v>2</v>
      </c>
      <c r="E273">
        <f>SEARCH(",",B273,D273+1)</f>
        <v>4</v>
      </c>
      <c r="F273">
        <f>SEARCH(",",B273,E273+1)</f>
        <v>7</v>
      </c>
      <c r="G273">
        <f>VALUE(MID(B273,1,D273-1))</f>
        <v>1</v>
      </c>
      <c r="H273">
        <f>VALUE(MID(B273,D273+1,E273-D273-1))</f>
        <v>1</v>
      </c>
      <c r="I273">
        <f>VALUE(MID(B273,E273+1,F273-E273-1))</f>
        <v>20</v>
      </c>
      <c r="J273">
        <f>VALUE(MID(B273,F273+1,4))</f>
        <v>30</v>
      </c>
    </row>
    <row r="274" spans="1:10" hidden="1" x14ac:dyDescent="0.25">
      <c r="A274" t="s">
        <v>272</v>
      </c>
      <c r="B274" t="s">
        <v>548</v>
      </c>
      <c r="C274" t="str">
        <f>IF(RIGHT(B274,5)="22,22","VIC20","")</f>
        <v/>
      </c>
      <c r="D274">
        <f>SEARCH(",",B274)</f>
        <v>2</v>
      </c>
      <c r="E274">
        <f>SEARCH(",",B274,D274+1)</f>
        <v>4</v>
      </c>
      <c r="F274">
        <f>SEARCH(",",B274,E274+1)</f>
        <v>7</v>
      </c>
      <c r="G274">
        <f>VALUE(MID(B274,1,D274-1))</f>
        <v>1</v>
      </c>
      <c r="H274">
        <f>VALUE(MID(B274,D274+1,E274-D274-1))</f>
        <v>1</v>
      </c>
      <c r="I274">
        <f>VALUE(MID(B274,E274+1,F274-E274-1))</f>
        <v>22</v>
      </c>
      <c r="J274">
        <f>VALUE(MID(B274,F274+1,4))</f>
        <v>30</v>
      </c>
    </row>
    <row r="275" spans="1:10" hidden="1" x14ac:dyDescent="0.25">
      <c r="A275" t="s">
        <v>273</v>
      </c>
      <c r="B275" t="s">
        <v>551</v>
      </c>
      <c r="C275" t="str">
        <f>IF(RIGHT(B275,5)="22,22","VIC20","")</f>
        <v/>
      </c>
      <c r="D275">
        <f>SEARCH(",",B275)</f>
        <v>2</v>
      </c>
      <c r="E275">
        <f>SEARCH(",",B275,D275+1)</f>
        <v>4</v>
      </c>
      <c r="F275">
        <f>SEARCH(",",B275,E275+1)</f>
        <v>7</v>
      </c>
      <c r="G275">
        <f>VALUE(MID(B275,1,D275-1))</f>
        <v>1</v>
      </c>
      <c r="H275">
        <f>VALUE(MID(B275,D275+1,E275-D275-1))</f>
        <v>0</v>
      </c>
      <c r="I275">
        <f>VALUE(MID(B275,E275+1,F275-E275-1))</f>
        <v>22</v>
      </c>
      <c r="J275">
        <f>VALUE(MID(B275,F275+1,4))</f>
        <v>32</v>
      </c>
    </row>
    <row r="276" spans="1:10" hidden="1" x14ac:dyDescent="0.25">
      <c r="A276" t="s">
        <v>274</v>
      </c>
      <c r="B276" t="s">
        <v>629</v>
      </c>
      <c r="C276" t="str">
        <f>IF(RIGHT(B276,5)="22,22","VIC20","")</f>
        <v/>
      </c>
      <c r="D276">
        <f>SEARCH(",",B276)</f>
        <v>2</v>
      </c>
      <c r="E276">
        <f>SEARCH(",",B276,D276+1)</f>
        <v>4</v>
      </c>
      <c r="F276">
        <f>SEARCH(",",B276,E276+1)</f>
        <v>7</v>
      </c>
      <c r="G276">
        <f>VALUE(MID(B276,1,D276-1))</f>
        <v>2</v>
      </c>
      <c r="H276">
        <f>VALUE(MID(B276,D276+1,E276-D276-1))</f>
        <v>2</v>
      </c>
      <c r="I276">
        <f>VALUE(MID(B276,E276+1,F276-E276-1))</f>
        <v>16</v>
      </c>
      <c r="J276">
        <f>VALUE(MID(B276,F276+1,4))</f>
        <v>28</v>
      </c>
    </row>
    <row r="277" spans="1:10" hidden="1" x14ac:dyDescent="0.25">
      <c r="A277" t="s">
        <v>275</v>
      </c>
      <c r="B277" t="s">
        <v>548</v>
      </c>
      <c r="C277" t="str">
        <f>IF(RIGHT(B277,5)="22,22","VIC20","")</f>
        <v/>
      </c>
      <c r="D277">
        <f>SEARCH(",",B277)</f>
        <v>2</v>
      </c>
      <c r="E277">
        <f>SEARCH(",",B277,D277+1)</f>
        <v>4</v>
      </c>
      <c r="F277">
        <f>SEARCH(",",B277,E277+1)</f>
        <v>7</v>
      </c>
      <c r="G277">
        <f>VALUE(MID(B277,1,D277-1))</f>
        <v>1</v>
      </c>
      <c r="H277">
        <f>VALUE(MID(B277,D277+1,E277-D277-1))</f>
        <v>1</v>
      </c>
      <c r="I277">
        <f>VALUE(MID(B277,E277+1,F277-E277-1))</f>
        <v>22</v>
      </c>
      <c r="J277">
        <f>VALUE(MID(B277,F277+1,4))</f>
        <v>30</v>
      </c>
    </row>
    <row r="278" spans="1:10" hidden="1" x14ac:dyDescent="0.25">
      <c r="A278" t="s">
        <v>276</v>
      </c>
      <c r="B278" t="s">
        <v>553</v>
      </c>
      <c r="C278" t="str">
        <f>IF(RIGHT(B278,5)="22,22","VIC20","")</f>
        <v/>
      </c>
      <c r="D278">
        <f>SEARCH(",",B278)</f>
        <v>2</v>
      </c>
      <c r="E278">
        <f>SEARCH(",",B278,D278+1)</f>
        <v>4</v>
      </c>
      <c r="F278">
        <f>SEARCH(",",B278,E278+1)</f>
        <v>7</v>
      </c>
      <c r="G278">
        <f>VALUE(MID(B278,1,D278-1))</f>
        <v>1</v>
      </c>
      <c r="H278">
        <f>VALUE(MID(B278,D278+1,E278-D278-1))</f>
        <v>1</v>
      </c>
      <c r="I278">
        <f>VALUE(MID(B278,E278+1,F278-E278-1))</f>
        <v>19</v>
      </c>
      <c r="J278">
        <f>VALUE(MID(B278,F278+1,4))</f>
        <v>30</v>
      </c>
    </row>
    <row r="279" spans="1:10" hidden="1" x14ac:dyDescent="0.25">
      <c r="A279" t="s">
        <v>277</v>
      </c>
      <c r="B279" t="s">
        <v>630</v>
      </c>
      <c r="C279" t="str">
        <f>IF(RIGHT(B279,5)="22,22","VIC20","")</f>
        <v/>
      </c>
      <c r="D279">
        <f>SEARCH(",",B279)</f>
        <v>2</v>
      </c>
      <c r="E279">
        <f>SEARCH(",",B279,D279+1)</f>
        <v>4</v>
      </c>
      <c r="F279">
        <f>SEARCH(",",B279,E279+1)</f>
        <v>7</v>
      </c>
      <c r="G279">
        <f>VALUE(MID(B279,1,D279-1))</f>
        <v>4</v>
      </c>
      <c r="H279">
        <f>VALUE(MID(B279,D279+1,E279-D279-1))</f>
        <v>4</v>
      </c>
      <c r="I279">
        <f>VALUE(MID(B279,E279+1,F279-E279-1))</f>
        <v>13</v>
      </c>
      <c r="J279">
        <f>VALUE(MID(B279,F279+1,4))</f>
        <v>24</v>
      </c>
    </row>
    <row r="280" spans="1:10" x14ac:dyDescent="0.25">
      <c r="A280" t="s">
        <v>499</v>
      </c>
      <c r="B280" t="s">
        <v>552</v>
      </c>
      <c r="C280" t="s">
        <v>544</v>
      </c>
      <c r="D280">
        <f>SEARCH(",",B280)</f>
        <v>2</v>
      </c>
      <c r="E280">
        <f>SEARCH(",",B280,D280+1)</f>
        <v>4</v>
      </c>
      <c r="F280">
        <f>SEARCH(",",B280,E280+1)</f>
        <v>7</v>
      </c>
      <c r="G280">
        <f>VALUE(MID(B280,1,D280-1))</f>
        <v>1</v>
      </c>
      <c r="H280">
        <f>VALUE(MID(B280,D280+1,E280-D280-1))</f>
        <v>1</v>
      </c>
      <c r="I280">
        <f>VALUE(MID(B280,E280+1,F280-E280-1))</f>
        <v>22</v>
      </c>
      <c r="J280">
        <f>VALUE(MID(B280,F280+1,4))</f>
        <v>22</v>
      </c>
    </row>
    <row r="281" spans="1:10" hidden="1" x14ac:dyDescent="0.25">
      <c r="A281" t="s">
        <v>279</v>
      </c>
      <c r="B281" t="s">
        <v>553</v>
      </c>
      <c r="C281" t="str">
        <f>IF(RIGHT(B281,5)="22,22","VIC20","")</f>
        <v/>
      </c>
      <c r="D281">
        <f>SEARCH(",",B281)</f>
        <v>2</v>
      </c>
      <c r="E281">
        <f>SEARCH(",",B281,D281+1)</f>
        <v>4</v>
      </c>
      <c r="F281">
        <f>SEARCH(",",B281,E281+1)</f>
        <v>7</v>
      </c>
      <c r="G281">
        <f>VALUE(MID(B281,1,D281-1))</f>
        <v>1</v>
      </c>
      <c r="H281">
        <f>VALUE(MID(B281,D281+1,E281-D281-1))</f>
        <v>1</v>
      </c>
      <c r="I281">
        <f>VALUE(MID(B281,E281+1,F281-E281-1))</f>
        <v>19</v>
      </c>
      <c r="J281">
        <f>VALUE(MID(B281,F281+1,4))</f>
        <v>30</v>
      </c>
    </row>
    <row r="282" spans="1:10" hidden="1" x14ac:dyDescent="0.25">
      <c r="A282" t="s">
        <v>280</v>
      </c>
      <c r="B282" t="s">
        <v>558</v>
      </c>
      <c r="C282" t="str">
        <f>IF(RIGHT(B282,5)="22,22","VIC20","")</f>
        <v/>
      </c>
      <c r="D282">
        <f>SEARCH(",",B282)</f>
        <v>2</v>
      </c>
      <c r="E282">
        <f>SEARCH(",",B282,D282+1)</f>
        <v>4</v>
      </c>
      <c r="F282">
        <f>SEARCH(",",B282,E282+1)</f>
        <v>7</v>
      </c>
      <c r="G282">
        <f>VALUE(MID(B282,1,D282-1))</f>
        <v>0</v>
      </c>
      <c r="H282">
        <f>VALUE(MID(B282,D282+1,E282-D282-1))</f>
        <v>0</v>
      </c>
      <c r="I282">
        <f>VALUE(MID(B282,E282+1,F282-E282-1))</f>
        <v>23</v>
      </c>
      <c r="J282">
        <f>VALUE(MID(B282,F282+1,4))</f>
        <v>32</v>
      </c>
    </row>
    <row r="283" spans="1:10" hidden="1" x14ac:dyDescent="0.25">
      <c r="A283" t="s">
        <v>281</v>
      </c>
      <c r="B283" t="s">
        <v>548</v>
      </c>
      <c r="C283" t="str">
        <f>IF(RIGHT(B283,5)="22,22","VIC20","")</f>
        <v/>
      </c>
      <c r="D283">
        <f>SEARCH(",",B283)</f>
        <v>2</v>
      </c>
      <c r="E283">
        <f>SEARCH(",",B283,D283+1)</f>
        <v>4</v>
      </c>
      <c r="F283">
        <f>SEARCH(",",B283,E283+1)</f>
        <v>7</v>
      </c>
      <c r="G283">
        <f>VALUE(MID(B283,1,D283-1))</f>
        <v>1</v>
      </c>
      <c r="H283">
        <f>VALUE(MID(B283,D283+1,E283-D283-1))</f>
        <v>1</v>
      </c>
      <c r="I283">
        <f>VALUE(MID(B283,E283+1,F283-E283-1))</f>
        <v>22</v>
      </c>
      <c r="J283">
        <f>VALUE(MID(B283,F283+1,4))</f>
        <v>30</v>
      </c>
    </row>
    <row r="284" spans="1:10" hidden="1" x14ac:dyDescent="0.25">
      <c r="A284" t="s">
        <v>282</v>
      </c>
      <c r="B284" t="s">
        <v>554</v>
      </c>
      <c r="C284" t="str">
        <f>IF(RIGHT(B284,5)="22,22","VIC20","")</f>
        <v/>
      </c>
      <c r="D284">
        <f>SEARCH(",",B284)</f>
        <v>2</v>
      </c>
      <c r="E284">
        <f>SEARCH(",",B284,D284+1)</f>
        <v>4</v>
      </c>
      <c r="F284">
        <f>SEARCH(",",B284,E284+1)</f>
        <v>7</v>
      </c>
      <c r="G284">
        <f>VALUE(MID(B284,1,D284-1))</f>
        <v>1</v>
      </c>
      <c r="H284">
        <f>VALUE(MID(B284,D284+1,E284-D284-1))</f>
        <v>1</v>
      </c>
      <c r="I284">
        <f>VALUE(MID(B284,E284+1,F284-E284-1))</f>
        <v>20</v>
      </c>
      <c r="J284">
        <f>VALUE(MID(B284,F284+1,4))</f>
        <v>30</v>
      </c>
    </row>
    <row r="285" spans="1:10" x14ac:dyDescent="0.25">
      <c r="A285" t="s">
        <v>159</v>
      </c>
      <c r="B285" t="s">
        <v>552</v>
      </c>
      <c r="C285" t="s">
        <v>544</v>
      </c>
      <c r="D285">
        <f>SEARCH(",",B285)</f>
        <v>2</v>
      </c>
      <c r="E285">
        <f>SEARCH(",",B285,D285+1)</f>
        <v>4</v>
      </c>
      <c r="F285">
        <f>SEARCH(",",B285,E285+1)</f>
        <v>7</v>
      </c>
      <c r="G285">
        <f>VALUE(MID(B285,1,D285-1))</f>
        <v>1</v>
      </c>
      <c r="H285">
        <f>VALUE(MID(B285,D285+1,E285-D285-1))</f>
        <v>1</v>
      </c>
      <c r="I285">
        <f>VALUE(MID(B285,E285+1,F285-E285-1))</f>
        <v>22</v>
      </c>
      <c r="J285">
        <f>VALUE(MID(B285,F285+1,4))</f>
        <v>22</v>
      </c>
    </row>
    <row r="286" spans="1:10" hidden="1" x14ac:dyDescent="0.25">
      <c r="A286" t="s">
        <v>284</v>
      </c>
      <c r="B286" t="s">
        <v>551</v>
      </c>
      <c r="C286" t="str">
        <f>IF(RIGHT(B286,5)="22,22","VIC20","")</f>
        <v/>
      </c>
      <c r="D286">
        <f>SEARCH(",",B286)</f>
        <v>2</v>
      </c>
      <c r="E286">
        <f>SEARCH(",",B286,D286+1)</f>
        <v>4</v>
      </c>
      <c r="F286">
        <f>SEARCH(",",B286,E286+1)</f>
        <v>7</v>
      </c>
      <c r="G286">
        <f>VALUE(MID(B286,1,D286-1))</f>
        <v>1</v>
      </c>
      <c r="H286">
        <f>VALUE(MID(B286,D286+1,E286-D286-1))</f>
        <v>0</v>
      </c>
      <c r="I286">
        <f>VALUE(MID(B286,E286+1,F286-E286-1))</f>
        <v>22</v>
      </c>
      <c r="J286">
        <f>VALUE(MID(B286,F286+1,4))</f>
        <v>32</v>
      </c>
    </row>
    <row r="287" spans="1:10" hidden="1" x14ac:dyDescent="0.25">
      <c r="A287" t="s">
        <v>285</v>
      </c>
      <c r="B287" t="s">
        <v>582</v>
      </c>
      <c r="C287" t="str">
        <f>IF(RIGHT(B287,5)="22,22","VIC20","")</f>
        <v/>
      </c>
      <c r="D287">
        <f>SEARCH(",",B287)</f>
        <v>2</v>
      </c>
      <c r="E287">
        <f>SEARCH(",",B287,D287+1)</f>
        <v>4</v>
      </c>
      <c r="F287">
        <f>SEARCH(",",B287,E287+1)</f>
        <v>7</v>
      </c>
      <c r="G287">
        <f>VALUE(MID(B287,1,D287-1))</f>
        <v>0</v>
      </c>
      <c r="H287">
        <f>VALUE(MID(B287,D287+1,E287-D287-1))</f>
        <v>0</v>
      </c>
      <c r="I287">
        <f>VALUE(MID(B287,E287+1,F287-E287-1))</f>
        <v>20</v>
      </c>
      <c r="J287">
        <f>VALUE(MID(B287,F287+1,4))</f>
        <v>32</v>
      </c>
    </row>
    <row r="288" spans="1:10" hidden="1" x14ac:dyDescent="0.25">
      <c r="A288" t="s">
        <v>286</v>
      </c>
      <c r="B288" t="s">
        <v>611</v>
      </c>
      <c r="C288" t="str">
        <f>IF(RIGHT(B288,5)="22,22","VIC20","")</f>
        <v/>
      </c>
      <c r="D288">
        <f>SEARCH(",",B288)</f>
        <v>2</v>
      </c>
      <c r="E288">
        <f>SEARCH(",",B288,D288+1)</f>
        <v>4</v>
      </c>
      <c r="F288">
        <f>SEARCH(",",B288,E288+1)</f>
        <v>7</v>
      </c>
      <c r="G288">
        <f>VALUE(MID(B288,1,D288-1))</f>
        <v>1</v>
      </c>
      <c r="H288">
        <f>VALUE(MID(B288,D288+1,E288-D288-1))</f>
        <v>1</v>
      </c>
      <c r="I288">
        <f>VALUE(MID(B288,E288+1,F288-E288-1))</f>
        <v>17</v>
      </c>
      <c r="J288">
        <f>VALUE(MID(B288,F288+1,4))</f>
        <v>30</v>
      </c>
    </row>
    <row r="289" spans="1:10" hidden="1" x14ac:dyDescent="0.25">
      <c r="A289" t="s">
        <v>287</v>
      </c>
      <c r="B289" t="s">
        <v>631</v>
      </c>
      <c r="C289" t="str">
        <f>IF(RIGHT(B289,5)="22,22","VIC20","")</f>
        <v/>
      </c>
      <c r="D289">
        <f>SEARCH(",",B289)</f>
        <v>2</v>
      </c>
      <c r="E289">
        <f>SEARCH(",",B289,D289+1)</f>
        <v>4</v>
      </c>
      <c r="F289">
        <f>SEARCH(",",B289,E289+1)</f>
        <v>7</v>
      </c>
      <c r="G289">
        <f>VALUE(MID(B289,1,D289-1))</f>
        <v>0</v>
      </c>
      <c r="H289">
        <f>VALUE(MID(B289,D289+1,E289-D289-1))</f>
        <v>0</v>
      </c>
      <c r="I289">
        <f>VALUE(MID(B289,E289+1,F289-E289-1))</f>
        <v>23</v>
      </c>
      <c r="J289">
        <f>VALUE(MID(B289,F289+1,4))</f>
        <v>24</v>
      </c>
    </row>
    <row r="290" spans="1:10" hidden="1" x14ac:dyDescent="0.25">
      <c r="A290" t="s">
        <v>288</v>
      </c>
      <c r="B290" t="s">
        <v>631</v>
      </c>
      <c r="C290" t="str">
        <f>IF(RIGHT(B290,5)="22,22","VIC20","")</f>
        <v/>
      </c>
      <c r="D290">
        <f>SEARCH(",",B290)</f>
        <v>2</v>
      </c>
      <c r="E290">
        <f>SEARCH(",",B290,D290+1)</f>
        <v>4</v>
      </c>
      <c r="F290">
        <f>SEARCH(",",B290,E290+1)</f>
        <v>7</v>
      </c>
      <c r="G290">
        <f>VALUE(MID(B290,1,D290-1))</f>
        <v>0</v>
      </c>
      <c r="H290">
        <f>VALUE(MID(B290,D290+1,E290-D290-1))</f>
        <v>0</v>
      </c>
      <c r="I290">
        <f>VALUE(MID(B290,E290+1,F290-E290-1))</f>
        <v>23</v>
      </c>
      <c r="J290">
        <f>VALUE(MID(B290,F290+1,4))</f>
        <v>24</v>
      </c>
    </row>
    <row r="291" spans="1:10" hidden="1" x14ac:dyDescent="0.25">
      <c r="A291" t="s">
        <v>289</v>
      </c>
      <c r="B291" t="s">
        <v>567</v>
      </c>
      <c r="C291" t="str">
        <f>IF(RIGHT(B291,5)="22,22","VIC20","")</f>
        <v/>
      </c>
      <c r="D291">
        <f>SEARCH(",",B291)</f>
        <v>2</v>
      </c>
      <c r="E291">
        <f>SEARCH(",",B291,D291+1)</f>
        <v>4</v>
      </c>
      <c r="F291">
        <f>SEARCH(",",B291,E291+1)</f>
        <v>7</v>
      </c>
      <c r="G291">
        <f>VALUE(MID(B291,1,D291-1))</f>
        <v>0</v>
      </c>
      <c r="H291">
        <f>VALUE(MID(B291,D291+1,E291-D291-1))</f>
        <v>0</v>
      </c>
      <c r="I291">
        <f>VALUE(MID(B291,E291+1,F291-E291-1))</f>
        <v>23</v>
      </c>
      <c r="J291">
        <f>VALUE(MID(B291,F291+1,4))</f>
        <v>30</v>
      </c>
    </row>
    <row r="292" spans="1:10" hidden="1" x14ac:dyDescent="0.25">
      <c r="A292" t="s">
        <v>290</v>
      </c>
      <c r="B292" t="s">
        <v>553</v>
      </c>
      <c r="C292" t="str">
        <f>IF(RIGHT(B292,5)="22,22","VIC20","")</f>
        <v/>
      </c>
      <c r="D292">
        <f>SEARCH(",",B292)</f>
        <v>2</v>
      </c>
      <c r="E292">
        <f>SEARCH(",",B292,D292+1)</f>
        <v>4</v>
      </c>
      <c r="F292">
        <f>SEARCH(",",B292,E292+1)</f>
        <v>7</v>
      </c>
      <c r="G292">
        <f>VALUE(MID(B292,1,D292-1))</f>
        <v>1</v>
      </c>
      <c r="H292">
        <f>VALUE(MID(B292,D292+1,E292-D292-1))</f>
        <v>1</v>
      </c>
      <c r="I292">
        <f>VALUE(MID(B292,E292+1,F292-E292-1))</f>
        <v>19</v>
      </c>
      <c r="J292">
        <f>VALUE(MID(B292,F292+1,4))</f>
        <v>30</v>
      </c>
    </row>
    <row r="293" spans="1:10" x14ac:dyDescent="0.25">
      <c r="A293" t="s">
        <v>365</v>
      </c>
      <c r="B293" t="s">
        <v>552</v>
      </c>
      <c r="C293" t="s">
        <v>544</v>
      </c>
      <c r="D293">
        <f>SEARCH(",",B293)</f>
        <v>2</v>
      </c>
      <c r="E293">
        <f>SEARCH(",",B293,D293+1)</f>
        <v>4</v>
      </c>
      <c r="F293">
        <f>SEARCH(",",B293,E293+1)</f>
        <v>7</v>
      </c>
      <c r="G293">
        <f>VALUE(MID(B293,1,D293-1))</f>
        <v>1</v>
      </c>
      <c r="H293">
        <f>VALUE(MID(B293,D293+1,E293-D293-1))</f>
        <v>1</v>
      </c>
      <c r="I293">
        <f>VALUE(MID(B293,E293+1,F293-E293-1))</f>
        <v>22</v>
      </c>
      <c r="J293">
        <f>VALUE(MID(B293,F293+1,4))</f>
        <v>22</v>
      </c>
    </row>
    <row r="294" spans="1:10" hidden="1" x14ac:dyDescent="0.25">
      <c r="A294" t="s">
        <v>292</v>
      </c>
      <c r="B294" t="s">
        <v>632</v>
      </c>
      <c r="C294" t="str">
        <f>IF(RIGHT(B294,5)="22,22","VIC20","")</f>
        <v/>
      </c>
      <c r="D294">
        <f>SEARCH(",",B294)</f>
        <v>2</v>
      </c>
      <c r="E294">
        <f>SEARCH(",",B294,D294+1)</f>
        <v>4</v>
      </c>
      <c r="F294">
        <f>SEARCH(",",B294,E294+1)</f>
        <v>7</v>
      </c>
      <c r="G294">
        <f>VALUE(MID(B294,1,D294-1))</f>
        <v>0</v>
      </c>
      <c r="H294">
        <f>VALUE(MID(B294,D294+1,E294-D294-1))</f>
        <v>0</v>
      </c>
      <c r="I294">
        <f>VALUE(MID(B294,E294+1,F294-E294-1))</f>
        <v>20</v>
      </c>
      <c r="J294">
        <f>VALUE(MID(B294,F294+1,4))</f>
        <v>30</v>
      </c>
    </row>
    <row r="295" spans="1:10" hidden="1" x14ac:dyDescent="0.25">
      <c r="A295" t="s">
        <v>293</v>
      </c>
      <c r="B295" t="s">
        <v>629</v>
      </c>
      <c r="C295" t="str">
        <f>IF(RIGHT(B295,5)="22,22","VIC20","")</f>
        <v/>
      </c>
      <c r="D295">
        <f>SEARCH(",",B295)</f>
        <v>2</v>
      </c>
      <c r="E295">
        <f>SEARCH(",",B295,D295+1)</f>
        <v>4</v>
      </c>
      <c r="F295">
        <f>SEARCH(",",B295,E295+1)</f>
        <v>7</v>
      </c>
      <c r="G295">
        <f>VALUE(MID(B295,1,D295-1))</f>
        <v>2</v>
      </c>
      <c r="H295">
        <f>VALUE(MID(B295,D295+1,E295-D295-1))</f>
        <v>2</v>
      </c>
      <c r="I295">
        <f>VALUE(MID(B295,E295+1,F295-E295-1))</f>
        <v>16</v>
      </c>
      <c r="J295">
        <f>VALUE(MID(B295,F295+1,4))</f>
        <v>28</v>
      </c>
    </row>
    <row r="296" spans="1:10" hidden="1" x14ac:dyDescent="0.25">
      <c r="A296" t="s">
        <v>294</v>
      </c>
      <c r="B296" t="s">
        <v>553</v>
      </c>
      <c r="C296" t="str">
        <f>IF(RIGHT(B296,5)="22,22","VIC20","")</f>
        <v/>
      </c>
      <c r="D296">
        <f>SEARCH(",",B296)</f>
        <v>2</v>
      </c>
      <c r="E296">
        <f>SEARCH(",",B296,D296+1)</f>
        <v>4</v>
      </c>
      <c r="F296">
        <f>SEARCH(",",B296,E296+1)</f>
        <v>7</v>
      </c>
      <c r="G296">
        <f>VALUE(MID(B296,1,D296-1))</f>
        <v>1</v>
      </c>
      <c r="H296">
        <f>VALUE(MID(B296,D296+1,E296-D296-1))</f>
        <v>1</v>
      </c>
      <c r="I296">
        <f>VALUE(MID(B296,E296+1,F296-E296-1))</f>
        <v>19</v>
      </c>
      <c r="J296">
        <f>VALUE(MID(B296,F296+1,4))</f>
        <v>30</v>
      </c>
    </row>
    <row r="297" spans="1:10" x14ac:dyDescent="0.25">
      <c r="A297" t="s">
        <v>535</v>
      </c>
      <c r="B297" t="s">
        <v>615</v>
      </c>
      <c r="C297" t="s">
        <v>544</v>
      </c>
      <c r="D297">
        <f>SEARCH(",",B297)</f>
        <v>2</v>
      </c>
      <c r="E297">
        <f>SEARCH(",",B297,D297+1)</f>
        <v>4</v>
      </c>
      <c r="F297">
        <f>SEARCH(",",B297,E297+1)</f>
        <v>6</v>
      </c>
      <c r="G297">
        <f>VALUE(MID(B297,1,D297-1))</f>
        <v>0</v>
      </c>
      <c r="H297">
        <f>VALUE(MID(B297,D297+1,E297-D297-1))</f>
        <v>0</v>
      </c>
      <c r="I297">
        <f>VALUE(MID(B297,E297+1,F297-E297-1))</f>
        <v>0</v>
      </c>
      <c r="J297">
        <f>VALUE(MID(B297,F297+1,4))</f>
        <v>0</v>
      </c>
    </row>
    <row r="298" spans="1:10" hidden="1" x14ac:dyDescent="0.25">
      <c r="A298" t="s">
        <v>296</v>
      </c>
      <c r="B298" t="s">
        <v>581</v>
      </c>
      <c r="C298" t="str">
        <f>IF(RIGHT(B298,5)="22,22","VIC20","")</f>
        <v/>
      </c>
      <c r="D298">
        <f>SEARCH(",",B298)</f>
        <v>2</v>
      </c>
      <c r="E298">
        <f>SEARCH(",",B298,D298+1)</f>
        <v>4</v>
      </c>
      <c r="F298">
        <f>SEARCH(",",B298,E298+1)</f>
        <v>7</v>
      </c>
      <c r="G298">
        <f>VALUE(MID(B298,1,D298-1))</f>
        <v>0</v>
      </c>
      <c r="H298">
        <f>VALUE(MID(B298,D298+1,E298-D298-1))</f>
        <v>0</v>
      </c>
      <c r="I298">
        <f>VALUE(MID(B298,E298+1,F298-E298-1))</f>
        <v>21</v>
      </c>
      <c r="J298">
        <f>VALUE(MID(B298,F298+1,4))</f>
        <v>32</v>
      </c>
    </row>
    <row r="299" spans="1:10" hidden="1" x14ac:dyDescent="0.25">
      <c r="A299" t="s">
        <v>297</v>
      </c>
      <c r="B299" t="s">
        <v>548</v>
      </c>
      <c r="C299" t="str">
        <f>IF(RIGHT(B299,5)="22,22","VIC20","")</f>
        <v/>
      </c>
      <c r="D299">
        <f>SEARCH(",",B299)</f>
        <v>2</v>
      </c>
      <c r="E299">
        <f>SEARCH(",",B299,D299+1)</f>
        <v>4</v>
      </c>
      <c r="F299">
        <f>SEARCH(",",B299,E299+1)</f>
        <v>7</v>
      </c>
      <c r="G299">
        <f>VALUE(MID(B299,1,D299-1))</f>
        <v>1</v>
      </c>
      <c r="H299">
        <f>VALUE(MID(B299,D299+1,E299-D299-1))</f>
        <v>1</v>
      </c>
      <c r="I299">
        <f>VALUE(MID(B299,E299+1,F299-E299-1))</f>
        <v>22</v>
      </c>
      <c r="J299">
        <f>VALUE(MID(B299,F299+1,4))</f>
        <v>30</v>
      </c>
    </row>
    <row r="300" spans="1:10" x14ac:dyDescent="0.25">
      <c r="A300" t="s">
        <v>536</v>
      </c>
      <c r="B300" t="s">
        <v>615</v>
      </c>
      <c r="C300" t="s">
        <v>544</v>
      </c>
      <c r="D300">
        <f>SEARCH(",",B300)</f>
        <v>2</v>
      </c>
      <c r="E300">
        <f>SEARCH(",",B300,D300+1)</f>
        <v>4</v>
      </c>
      <c r="F300">
        <f>SEARCH(",",B300,E300+1)</f>
        <v>6</v>
      </c>
      <c r="G300">
        <f>VALUE(MID(B300,1,D300-1))</f>
        <v>0</v>
      </c>
      <c r="H300">
        <f>VALUE(MID(B300,D300+1,E300-D300-1))</f>
        <v>0</v>
      </c>
      <c r="I300">
        <f>VALUE(MID(B300,E300+1,F300-E300-1))</f>
        <v>0</v>
      </c>
      <c r="J300">
        <f>VALUE(MID(B300,F300+1,4))</f>
        <v>0</v>
      </c>
    </row>
    <row r="301" spans="1:10" hidden="1" x14ac:dyDescent="0.25">
      <c r="A301" t="s">
        <v>299</v>
      </c>
      <c r="B301" t="s">
        <v>553</v>
      </c>
      <c r="C301" t="str">
        <f>IF(RIGHT(B301,5)="22,22","VIC20","")</f>
        <v/>
      </c>
      <c r="D301">
        <f>SEARCH(",",B301)</f>
        <v>2</v>
      </c>
      <c r="E301">
        <f>SEARCH(",",B301,D301+1)</f>
        <v>4</v>
      </c>
      <c r="F301">
        <f>SEARCH(",",B301,E301+1)</f>
        <v>7</v>
      </c>
      <c r="G301">
        <f>VALUE(MID(B301,1,D301-1))</f>
        <v>1</v>
      </c>
      <c r="H301">
        <f>VALUE(MID(B301,D301+1,E301-D301-1))</f>
        <v>1</v>
      </c>
      <c r="I301">
        <f>VALUE(MID(B301,E301+1,F301-E301-1))</f>
        <v>19</v>
      </c>
      <c r="J301">
        <f>VALUE(MID(B301,F301+1,4))</f>
        <v>30</v>
      </c>
    </row>
    <row r="302" spans="1:10" hidden="1" x14ac:dyDescent="0.25">
      <c r="A302" t="s">
        <v>300</v>
      </c>
      <c r="B302" t="s">
        <v>623</v>
      </c>
      <c r="C302" t="str">
        <f>IF(RIGHT(B302,5)="22,22","VIC20","")</f>
        <v/>
      </c>
      <c r="D302">
        <f>SEARCH(",",B302)</f>
        <v>2</v>
      </c>
      <c r="E302">
        <f>SEARCH(",",B302,D302+1)</f>
        <v>4</v>
      </c>
      <c r="F302">
        <f>SEARCH(",",B302,E302+1)</f>
        <v>7</v>
      </c>
      <c r="G302">
        <f>VALUE(MID(B302,1,D302-1))</f>
        <v>1</v>
      </c>
      <c r="H302">
        <f>VALUE(MID(B302,D302+1,E302-D302-1))</f>
        <v>0</v>
      </c>
      <c r="I302">
        <f>VALUE(MID(B302,E302+1,F302-E302-1))</f>
        <v>21</v>
      </c>
      <c r="J302">
        <f>VALUE(MID(B302,F302+1,4))</f>
        <v>32</v>
      </c>
    </row>
    <row r="303" spans="1:10" hidden="1" x14ac:dyDescent="0.25">
      <c r="A303" t="s">
        <v>301</v>
      </c>
      <c r="B303" t="s">
        <v>633</v>
      </c>
      <c r="C303" t="str">
        <f>IF(RIGHT(B303,5)="22,22","VIC20","")</f>
        <v/>
      </c>
      <c r="D303">
        <f>SEARCH(",",B303)</f>
        <v>2</v>
      </c>
      <c r="E303">
        <f>SEARCH(",",B303,D303+1)</f>
        <v>4</v>
      </c>
      <c r="F303">
        <f>SEARCH(",",B303,E303+1)</f>
        <v>7</v>
      </c>
      <c r="G303">
        <f>VALUE(MID(B303,1,D303-1))</f>
        <v>0</v>
      </c>
      <c r="H303">
        <f>VALUE(MID(B303,D303+1,E303-D303-1))</f>
        <v>1</v>
      </c>
      <c r="I303">
        <f>VALUE(MID(B303,E303+1,F303-E303-1))</f>
        <v>22</v>
      </c>
      <c r="J303">
        <f>VALUE(MID(B303,F303+1,4))</f>
        <v>30</v>
      </c>
    </row>
    <row r="304" spans="1:10" x14ac:dyDescent="0.25">
      <c r="A304" t="s">
        <v>136</v>
      </c>
      <c r="B304" t="s">
        <v>552</v>
      </c>
      <c r="C304" t="s">
        <v>544</v>
      </c>
      <c r="D304">
        <f>SEARCH(",",B304)</f>
        <v>2</v>
      </c>
      <c r="E304">
        <f>SEARCH(",",B304,D304+1)</f>
        <v>4</v>
      </c>
      <c r="F304">
        <f>SEARCH(",",B304,E304+1)</f>
        <v>7</v>
      </c>
      <c r="G304">
        <f>VALUE(MID(B304,1,D304-1))</f>
        <v>1</v>
      </c>
      <c r="H304">
        <f>VALUE(MID(B304,D304+1,E304-D304-1))</f>
        <v>1</v>
      </c>
      <c r="I304">
        <f>VALUE(MID(B304,E304+1,F304-E304-1))</f>
        <v>22</v>
      </c>
      <c r="J304">
        <f>VALUE(MID(B304,F304+1,4))</f>
        <v>22</v>
      </c>
    </row>
    <row r="305" spans="1:10" hidden="1" x14ac:dyDescent="0.25">
      <c r="A305" t="s">
        <v>303</v>
      </c>
      <c r="B305" t="s">
        <v>594</v>
      </c>
      <c r="C305" t="str">
        <f>IF(RIGHT(B305,5)="22,22","VIC20","")</f>
        <v/>
      </c>
      <c r="D305">
        <f>SEARCH(",",B305)</f>
        <v>2</v>
      </c>
      <c r="E305">
        <f>SEARCH(",",B305,D305+1)</f>
        <v>4</v>
      </c>
      <c r="F305">
        <f>SEARCH(",",B305,E305+1)</f>
        <v>7</v>
      </c>
      <c r="G305">
        <f>VALUE(MID(B305,1,D305-1))</f>
        <v>1</v>
      </c>
      <c r="H305">
        <f>VALUE(MID(B305,D305+1,E305-D305-1))</f>
        <v>1</v>
      </c>
      <c r="I305">
        <f>VALUE(MID(B305,E305+1,F305-E305-1))</f>
        <v>21</v>
      </c>
      <c r="J305">
        <f>VALUE(MID(B305,F305+1,4))</f>
        <v>30</v>
      </c>
    </row>
    <row r="306" spans="1:10" hidden="1" x14ac:dyDescent="0.25">
      <c r="A306" t="s">
        <v>304</v>
      </c>
      <c r="B306" t="s">
        <v>546</v>
      </c>
      <c r="C306" t="str">
        <f>IF(RIGHT(B306,5)="22,22","VIC20","")</f>
        <v/>
      </c>
      <c r="D306">
        <f>SEARCH(",",B306)</f>
        <v>2</v>
      </c>
      <c r="E306">
        <f>SEARCH(",",B306,D306+1)</f>
        <v>4</v>
      </c>
      <c r="F306">
        <f>SEARCH(",",B306,E306+1)</f>
        <v>7</v>
      </c>
      <c r="G306">
        <f>VALUE(MID(B306,1,D306-1))</f>
        <v>1</v>
      </c>
      <c r="H306">
        <f>VALUE(MID(B306,D306+1,E306-D306-1))</f>
        <v>0</v>
      </c>
      <c r="I306">
        <f>VALUE(MID(B306,E306+1,F306-E306-1))</f>
        <v>23</v>
      </c>
      <c r="J306">
        <f>VALUE(MID(B306,F306+1,4))</f>
        <v>32</v>
      </c>
    </row>
    <row r="307" spans="1:10" x14ac:dyDescent="0.25">
      <c r="A307" t="s">
        <v>460</v>
      </c>
      <c r="B307" t="s">
        <v>552</v>
      </c>
      <c r="C307" t="s">
        <v>544</v>
      </c>
      <c r="D307">
        <f>SEARCH(",",B307)</f>
        <v>2</v>
      </c>
      <c r="E307">
        <f>SEARCH(",",B307,D307+1)</f>
        <v>4</v>
      </c>
      <c r="F307">
        <f>SEARCH(",",B307,E307+1)</f>
        <v>7</v>
      </c>
      <c r="G307">
        <f>VALUE(MID(B307,1,D307-1))</f>
        <v>1</v>
      </c>
      <c r="H307">
        <f>VALUE(MID(B307,D307+1,E307-D307-1))</f>
        <v>1</v>
      </c>
      <c r="I307">
        <f>VALUE(MID(B307,E307+1,F307-E307-1))</f>
        <v>22</v>
      </c>
      <c r="J307">
        <f>VALUE(MID(B307,F307+1,4))</f>
        <v>22</v>
      </c>
    </row>
    <row r="308" spans="1:10" hidden="1" x14ac:dyDescent="0.25">
      <c r="A308" t="s">
        <v>306</v>
      </c>
      <c r="B308" t="s">
        <v>609</v>
      </c>
      <c r="C308" t="str">
        <f>IF(RIGHT(B308,5)="22,22","VIC20","")</f>
        <v/>
      </c>
      <c r="D308">
        <f>SEARCH(",",B308)</f>
        <v>2</v>
      </c>
      <c r="E308">
        <f>SEARCH(",",B308,D308+1)</f>
        <v>4</v>
      </c>
      <c r="F308">
        <f>SEARCH(",",B308,E308+1)</f>
        <v>7</v>
      </c>
      <c r="G308">
        <f>VALUE(MID(B308,1,D308-1))</f>
        <v>3</v>
      </c>
      <c r="H308">
        <f>VALUE(MID(B308,D308+1,E308-D308-1))</f>
        <v>1</v>
      </c>
      <c r="I308">
        <f>VALUE(MID(B308,E308+1,F308-E308-1))</f>
        <v>19</v>
      </c>
      <c r="J308">
        <f>VALUE(MID(B308,F308+1,4))</f>
        <v>30</v>
      </c>
    </row>
    <row r="309" spans="1:10" x14ac:dyDescent="0.25">
      <c r="A309" t="s">
        <v>302</v>
      </c>
      <c r="B309" t="s">
        <v>552</v>
      </c>
      <c r="C309" t="s">
        <v>544</v>
      </c>
      <c r="D309">
        <f>SEARCH(",",B309)</f>
        <v>2</v>
      </c>
      <c r="E309">
        <f>SEARCH(",",B309,D309+1)</f>
        <v>4</v>
      </c>
      <c r="F309">
        <f>SEARCH(",",B309,E309+1)</f>
        <v>7</v>
      </c>
      <c r="G309">
        <f>VALUE(MID(B309,1,D309-1))</f>
        <v>1</v>
      </c>
      <c r="H309">
        <f>VALUE(MID(B309,D309+1,E309-D309-1))</f>
        <v>1</v>
      </c>
      <c r="I309">
        <f>VALUE(MID(B309,E309+1,F309-E309-1))</f>
        <v>22</v>
      </c>
      <c r="J309">
        <f>VALUE(MID(B309,F309+1,4))</f>
        <v>22</v>
      </c>
    </row>
    <row r="310" spans="1:10" hidden="1" x14ac:dyDescent="0.25">
      <c r="A310" t="s">
        <v>308</v>
      </c>
      <c r="B310" t="s">
        <v>594</v>
      </c>
      <c r="C310" t="str">
        <f>IF(RIGHT(B310,5)="22,22","VIC20","")</f>
        <v/>
      </c>
      <c r="D310">
        <f>SEARCH(",",B310)</f>
        <v>2</v>
      </c>
      <c r="E310">
        <f>SEARCH(",",B310,D310+1)</f>
        <v>4</v>
      </c>
      <c r="F310">
        <f>SEARCH(",",B310,E310+1)</f>
        <v>7</v>
      </c>
      <c r="G310">
        <f>VALUE(MID(B310,1,D310-1))</f>
        <v>1</v>
      </c>
      <c r="H310">
        <f>VALUE(MID(B310,D310+1,E310-D310-1))</f>
        <v>1</v>
      </c>
      <c r="I310">
        <f>VALUE(MID(B310,E310+1,F310-E310-1))</f>
        <v>21</v>
      </c>
      <c r="J310">
        <f>VALUE(MID(B310,F310+1,4))</f>
        <v>30</v>
      </c>
    </row>
    <row r="311" spans="1:10" hidden="1" x14ac:dyDescent="0.25">
      <c r="A311" t="s">
        <v>309</v>
      </c>
      <c r="B311" t="s">
        <v>634</v>
      </c>
      <c r="C311" t="str">
        <f>IF(RIGHT(B311,5)="22,22","VIC20","")</f>
        <v/>
      </c>
      <c r="D311">
        <f>SEARCH(",",B311)</f>
        <v>2</v>
      </c>
      <c r="E311">
        <f>SEARCH(",",B311,D311+1)</f>
        <v>4</v>
      </c>
      <c r="F311">
        <f>SEARCH(",",B311,E311+1)</f>
        <v>7</v>
      </c>
      <c r="G311">
        <f>VALUE(MID(B311,1,D311-1))</f>
        <v>0</v>
      </c>
      <c r="H311">
        <f>VALUE(MID(B311,D311+1,E311-D311-1))</f>
        <v>0</v>
      </c>
      <c r="I311">
        <f>VALUE(MID(B311,E311+1,F311-E311-1))</f>
        <v>22</v>
      </c>
      <c r="J311">
        <f>VALUE(MID(B311,F311+1,4))</f>
        <v>26</v>
      </c>
    </row>
    <row r="312" spans="1:10" hidden="1" x14ac:dyDescent="0.25">
      <c r="A312" t="s">
        <v>310</v>
      </c>
      <c r="B312" t="s">
        <v>550</v>
      </c>
      <c r="C312" t="str">
        <f>IF(RIGHT(B312,5)="22,22","VIC20","")</f>
        <v/>
      </c>
      <c r="D312">
        <f>SEARCH(",",B312)</f>
        <v>2</v>
      </c>
      <c r="E312">
        <f>SEARCH(",",B312,D312+1)</f>
        <v>4</v>
      </c>
      <c r="F312">
        <f>SEARCH(",",B312,E312+1)</f>
        <v>7</v>
      </c>
      <c r="G312">
        <f>VALUE(MID(B312,1,D312-1))</f>
        <v>0</v>
      </c>
      <c r="H312">
        <f>VALUE(MID(B312,D312+1,E312-D312-1))</f>
        <v>1</v>
      </c>
      <c r="I312">
        <f>VALUE(MID(B312,E312+1,F312-E312-1))</f>
        <v>23</v>
      </c>
      <c r="J312">
        <f>VALUE(MID(B312,F312+1,4))</f>
        <v>30</v>
      </c>
    </row>
    <row r="313" spans="1:10" hidden="1" x14ac:dyDescent="0.25">
      <c r="A313" t="s">
        <v>311</v>
      </c>
      <c r="B313" t="s">
        <v>548</v>
      </c>
      <c r="C313" t="str">
        <f>IF(RIGHT(B313,5)="22,22","VIC20","")</f>
        <v/>
      </c>
      <c r="D313">
        <f>SEARCH(",",B313)</f>
        <v>2</v>
      </c>
      <c r="E313">
        <f>SEARCH(",",B313,D313+1)</f>
        <v>4</v>
      </c>
      <c r="F313">
        <f>SEARCH(",",B313,E313+1)</f>
        <v>7</v>
      </c>
      <c r="G313">
        <f>VALUE(MID(B313,1,D313-1))</f>
        <v>1</v>
      </c>
      <c r="H313">
        <f>VALUE(MID(B313,D313+1,E313-D313-1))</f>
        <v>1</v>
      </c>
      <c r="I313">
        <f>VALUE(MID(B313,E313+1,F313-E313-1))</f>
        <v>22</v>
      </c>
      <c r="J313">
        <f>VALUE(MID(B313,F313+1,4))</f>
        <v>30</v>
      </c>
    </row>
    <row r="314" spans="1:10" hidden="1" x14ac:dyDescent="0.25">
      <c r="A314" t="s">
        <v>312</v>
      </c>
      <c r="B314" t="s">
        <v>635</v>
      </c>
      <c r="C314" t="str">
        <f>IF(RIGHT(B314,5)="22,22","VIC20","")</f>
        <v/>
      </c>
      <c r="D314">
        <f>SEARCH(",",B314)</f>
        <v>2</v>
      </c>
      <c r="E314">
        <f>SEARCH(",",B314,D314+1)</f>
        <v>4</v>
      </c>
      <c r="F314">
        <f>SEARCH(",",B314,E314+1)</f>
        <v>7</v>
      </c>
      <c r="G314">
        <f>VALUE(MID(B314,1,D314-1))</f>
        <v>1</v>
      </c>
      <c r="H314">
        <f>VALUE(MID(B314,D314+1,E314-D314-1))</f>
        <v>1</v>
      </c>
      <c r="I314">
        <f>VALUE(MID(B314,E314+1,F314-E314-1))</f>
        <v>22</v>
      </c>
      <c r="J314">
        <f>VALUE(MID(B314,F314+1,4))</f>
        <v>25</v>
      </c>
    </row>
    <row r="315" spans="1:10" hidden="1" x14ac:dyDescent="0.25">
      <c r="A315" t="s">
        <v>313</v>
      </c>
      <c r="B315" t="s">
        <v>636</v>
      </c>
      <c r="C315" t="str">
        <f>IF(RIGHT(B315,5)="22,22","VIC20","")</f>
        <v/>
      </c>
      <c r="D315">
        <f>SEARCH(",",B315)</f>
        <v>2</v>
      </c>
      <c r="E315">
        <f>SEARCH(",",B315,D315+1)</f>
        <v>4</v>
      </c>
      <c r="F315">
        <f>SEARCH(",",B315,E315+1)</f>
        <v>7</v>
      </c>
      <c r="G315">
        <f>VALUE(MID(B315,1,D315-1))</f>
        <v>1</v>
      </c>
      <c r="H315">
        <f>VALUE(MID(B315,D315+1,E315-D315-1))</f>
        <v>0</v>
      </c>
      <c r="I315">
        <f>VALUE(MID(B315,E315+1,F315-E315-1))</f>
        <v>22</v>
      </c>
      <c r="J315">
        <f>VALUE(MID(B315,F315+1,4))</f>
        <v>26</v>
      </c>
    </row>
    <row r="316" spans="1:10" x14ac:dyDescent="0.25">
      <c r="A316" t="s">
        <v>192</v>
      </c>
      <c r="B316" t="s">
        <v>552</v>
      </c>
      <c r="C316" t="s">
        <v>544</v>
      </c>
      <c r="D316">
        <f>SEARCH(",",B316)</f>
        <v>2</v>
      </c>
      <c r="E316">
        <f>SEARCH(",",B316,D316+1)</f>
        <v>4</v>
      </c>
      <c r="F316">
        <f>SEARCH(",",B316,E316+1)</f>
        <v>7</v>
      </c>
      <c r="G316">
        <f>VALUE(MID(B316,1,D316-1))</f>
        <v>1</v>
      </c>
      <c r="H316">
        <f>VALUE(MID(B316,D316+1,E316-D316-1))</f>
        <v>1</v>
      </c>
      <c r="I316">
        <f>VALUE(MID(B316,E316+1,F316-E316-1))</f>
        <v>22</v>
      </c>
      <c r="J316">
        <f>VALUE(MID(B316,F316+1,4))</f>
        <v>22</v>
      </c>
    </row>
    <row r="317" spans="1:10" hidden="1" x14ac:dyDescent="0.25">
      <c r="A317" t="s">
        <v>315</v>
      </c>
      <c r="B317" t="s">
        <v>547</v>
      </c>
      <c r="C317" t="str">
        <f>IF(RIGHT(B317,5)="22,22","VIC20","")</f>
        <v/>
      </c>
      <c r="D317">
        <f>SEARCH(",",B317)</f>
        <v>2</v>
      </c>
      <c r="E317">
        <f>SEARCH(",",B317,D317+1)</f>
        <v>4</v>
      </c>
      <c r="F317">
        <f>SEARCH(",",B317,E317+1)</f>
        <v>7</v>
      </c>
      <c r="G317">
        <f>VALUE(MID(B317,1,D317-1))</f>
        <v>1</v>
      </c>
      <c r="H317">
        <f>VALUE(MID(B317,D317+1,E317-D317-1))</f>
        <v>1</v>
      </c>
      <c r="I317">
        <f>VALUE(MID(B317,E317+1,F317-E317-1))</f>
        <v>18</v>
      </c>
      <c r="J317">
        <f>VALUE(MID(B317,F317+1,4))</f>
        <v>30</v>
      </c>
    </row>
    <row r="318" spans="1:10" hidden="1" x14ac:dyDescent="0.25">
      <c r="A318" t="s">
        <v>316</v>
      </c>
      <c r="B318" t="s">
        <v>553</v>
      </c>
      <c r="C318" t="str">
        <f>IF(RIGHT(B318,5)="22,22","VIC20","")</f>
        <v/>
      </c>
      <c r="D318">
        <f>SEARCH(",",B318)</f>
        <v>2</v>
      </c>
      <c r="E318">
        <f>SEARCH(",",B318,D318+1)</f>
        <v>4</v>
      </c>
      <c r="F318">
        <f>SEARCH(",",B318,E318+1)</f>
        <v>7</v>
      </c>
      <c r="G318">
        <f>VALUE(MID(B318,1,D318-1))</f>
        <v>1</v>
      </c>
      <c r="H318">
        <f>VALUE(MID(B318,D318+1,E318-D318-1))</f>
        <v>1</v>
      </c>
      <c r="I318">
        <f>VALUE(MID(B318,E318+1,F318-E318-1))</f>
        <v>19</v>
      </c>
      <c r="J318">
        <f>VALUE(MID(B318,F318+1,4))</f>
        <v>30</v>
      </c>
    </row>
    <row r="319" spans="1:10" x14ac:dyDescent="0.25">
      <c r="A319" t="s">
        <v>196</v>
      </c>
      <c r="B319" t="s">
        <v>615</v>
      </c>
      <c r="C319" t="s">
        <v>544</v>
      </c>
      <c r="D319">
        <f>SEARCH(",",B319)</f>
        <v>2</v>
      </c>
      <c r="E319">
        <f>SEARCH(",",B319,D319+1)</f>
        <v>4</v>
      </c>
      <c r="F319">
        <f>SEARCH(",",B319,E319+1)</f>
        <v>6</v>
      </c>
      <c r="G319">
        <f>VALUE(MID(B319,1,D319-1))</f>
        <v>0</v>
      </c>
      <c r="H319">
        <f>VALUE(MID(B319,D319+1,E319-D319-1))</f>
        <v>0</v>
      </c>
      <c r="I319">
        <f>VALUE(MID(B319,E319+1,F319-E319-1))</f>
        <v>0</v>
      </c>
      <c r="J319">
        <f>VALUE(MID(B319,F319+1,4))</f>
        <v>0</v>
      </c>
    </row>
    <row r="320" spans="1:10" hidden="1" x14ac:dyDescent="0.25">
      <c r="A320" t="s">
        <v>318</v>
      </c>
      <c r="B320" t="s">
        <v>553</v>
      </c>
      <c r="C320" t="str">
        <f>IF(RIGHT(B320,5)="22,22","VIC20","")</f>
        <v/>
      </c>
      <c r="D320">
        <f>SEARCH(",",B320)</f>
        <v>2</v>
      </c>
      <c r="E320">
        <f>SEARCH(",",B320,D320+1)</f>
        <v>4</v>
      </c>
      <c r="F320">
        <f>SEARCH(",",B320,E320+1)</f>
        <v>7</v>
      </c>
      <c r="G320">
        <f>VALUE(MID(B320,1,D320-1))</f>
        <v>1</v>
      </c>
      <c r="H320">
        <f>VALUE(MID(B320,D320+1,E320-D320-1))</f>
        <v>1</v>
      </c>
      <c r="I320">
        <f>VALUE(MID(B320,E320+1,F320-E320-1))</f>
        <v>19</v>
      </c>
      <c r="J320">
        <f>VALUE(MID(B320,F320+1,4))</f>
        <v>30</v>
      </c>
    </row>
    <row r="321" spans="1:10" hidden="1" x14ac:dyDescent="0.25">
      <c r="A321" t="s">
        <v>319</v>
      </c>
      <c r="B321" t="s">
        <v>553</v>
      </c>
      <c r="C321" t="str">
        <f>IF(RIGHT(B321,5)="22,22","VIC20","")</f>
        <v/>
      </c>
      <c r="D321">
        <f>SEARCH(",",B321)</f>
        <v>2</v>
      </c>
      <c r="E321">
        <f>SEARCH(",",B321,D321+1)</f>
        <v>4</v>
      </c>
      <c r="F321">
        <f>SEARCH(",",B321,E321+1)</f>
        <v>7</v>
      </c>
      <c r="G321">
        <f>VALUE(MID(B321,1,D321-1))</f>
        <v>1</v>
      </c>
      <c r="H321">
        <f>VALUE(MID(B321,D321+1,E321-D321-1))</f>
        <v>1</v>
      </c>
      <c r="I321">
        <f>VALUE(MID(B321,E321+1,F321-E321-1))</f>
        <v>19</v>
      </c>
      <c r="J321">
        <f>VALUE(MID(B321,F321+1,4))</f>
        <v>30</v>
      </c>
    </row>
    <row r="322" spans="1:10" hidden="1" x14ac:dyDescent="0.25">
      <c r="A322" t="s">
        <v>320</v>
      </c>
      <c r="B322" t="s">
        <v>546</v>
      </c>
      <c r="C322" t="str">
        <f>IF(RIGHT(B322,5)="22,22","VIC20","")</f>
        <v/>
      </c>
      <c r="D322">
        <f>SEARCH(",",B322)</f>
        <v>2</v>
      </c>
      <c r="E322">
        <f>SEARCH(",",B322,D322+1)</f>
        <v>4</v>
      </c>
      <c r="F322">
        <f>SEARCH(",",B322,E322+1)</f>
        <v>7</v>
      </c>
      <c r="G322">
        <f>VALUE(MID(B322,1,D322-1))</f>
        <v>1</v>
      </c>
      <c r="H322">
        <f>VALUE(MID(B322,D322+1,E322-D322-1))</f>
        <v>0</v>
      </c>
      <c r="I322">
        <f>VALUE(MID(B322,E322+1,F322-E322-1))</f>
        <v>23</v>
      </c>
      <c r="J322">
        <f>VALUE(MID(B322,F322+1,4))</f>
        <v>32</v>
      </c>
    </row>
    <row r="323" spans="1:10" hidden="1" x14ac:dyDescent="0.25">
      <c r="A323" t="s">
        <v>321</v>
      </c>
      <c r="B323" t="s">
        <v>546</v>
      </c>
      <c r="C323" t="str">
        <f>IF(RIGHT(B323,5)="22,22","VIC20","")</f>
        <v/>
      </c>
      <c r="D323">
        <f>SEARCH(",",B323)</f>
        <v>2</v>
      </c>
      <c r="E323">
        <f>SEARCH(",",B323,D323+1)</f>
        <v>4</v>
      </c>
      <c r="F323">
        <f>SEARCH(",",B323,E323+1)</f>
        <v>7</v>
      </c>
      <c r="G323">
        <f>VALUE(MID(B323,1,D323-1))</f>
        <v>1</v>
      </c>
      <c r="H323">
        <f>VALUE(MID(B323,D323+1,E323-D323-1))</f>
        <v>0</v>
      </c>
      <c r="I323">
        <f>VALUE(MID(B323,E323+1,F323-E323-1))</f>
        <v>23</v>
      </c>
      <c r="J323">
        <f>VALUE(MID(B323,F323+1,4))</f>
        <v>32</v>
      </c>
    </row>
    <row r="324" spans="1:10" hidden="1" x14ac:dyDescent="0.25">
      <c r="A324" t="s">
        <v>322</v>
      </c>
      <c r="B324" t="s">
        <v>554</v>
      </c>
      <c r="C324" t="str">
        <f>IF(RIGHT(B324,5)="22,22","VIC20","")</f>
        <v/>
      </c>
      <c r="D324">
        <f>SEARCH(",",B324)</f>
        <v>2</v>
      </c>
      <c r="E324">
        <f>SEARCH(",",B324,D324+1)</f>
        <v>4</v>
      </c>
      <c r="F324">
        <f>SEARCH(",",B324,E324+1)</f>
        <v>7</v>
      </c>
      <c r="G324">
        <f>VALUE(MID(B324,1,D324-1))</f>
        <v>1</v>
      </c>
      <c r="H324">
        <f>VALUE(MID(B324,D324+1,E324-D324-1))</f>
        <v>1</v>
      </c>
      <c r="I324">
        <f>VALUE(MID(B324,E324+1,F324-E324-1))</f>
        <v>20</v>
      </c>
      <c r="J324">
        <f>VALUE(MID(B324,F324+1,4))</f>
        <v>30</v>
      </c>
    </row>
    <row r="325" spans="1:10" hidden="1" x14ac:dyDescent="0.25">
      <c r="A325" t="s">
        <v>323</v>
      </c>
      <c r="B325" t="s">
        <v>554</v>
      </c>
      <c r="C325" t="str">
        <f>IF(RIGHT(B325,5)="22,22","VIC20","")</f>
        <v/>
      </c>
      <c r="D325">
        <f>SEARCH(",",B325)</f>
        <v>2</v>
      </c>
      <c r="E325">
        <f>SEARCH(",",B325,D325+1)</f>
        <v>4</v>
      </c>
      <c r="F325">
        <f>SEARCH(",",B325,E325+1)</f>
        <v>7</v>
      </c>
      <c r="G325">
        <f>VALUE(MID(B325,1,D325-1))</f>
        <v>1</v>
      </c>
      <c r="H325">
        <f>VALUE(MID(B325,D325+1,E325-D325-1))</f>
        <v>1</v>
      </c>
      <c r="I325">
        <f>VALUE(MID(B325,E325+1,F325-E325-1))</f>
        <v>20</v>
      </c>
      <c r="J325">
        <f>VALUE(MID(B325,F325+1,4))</f>
        <v>30</v>
      </c>
    </row>
    <row r="326" spans="1:10" hidden="1" x14ac:dyDescent="0.25">
      <c r="A326" t="s">
        <v>324</v>
      </c>
      <c r="B326" t="s">
        <v>551</v>
      </c>
      <c r="C326" t="str">
        <f>IF(RIGHT(B326,5)="22,22","VIC20","")</f>
        <v/>
      </c>
      <c r="D326">
        <f>SEARCH(",",B326)</f>
        <v>2</v>
      </c>
      <c r="E326">
        <f>SEARCH(",",B326,D326+1)</f>
        <v>4</v>
      </c>
      <c r="F326">
        <f>SEARCH(",",B326,E326+1)</f>
        <v>7</v>
      </c>
      <c r="G326">
        <f>VALUE(MID(B326,1,D326-1))</f>
        <v>1</v>
      </c>
      <c r="H326">
        <f>VALUE(MID(B326,D326+1,E326-D326-1))</f>
        <v>0</v>
      </c>
      <c r="I326">
        <f>VALUE(MID(B326,E326+1,F326-E326-1))</f>
        <v>22</v>
      </c>
      <c r="J326">
        <f>VALUE(MID(B326,F326+1,4))</f>
        <v>32</v>
      </c>
    </row>
    <row r="327" spans="1:10" hidden="1" x14ac:dyDescent="0.25">
      <c r="A327" t="s">
        <v>325</v>
      </c>
      <c r="B327" t="s">
        <v>557</v>
      </c>
      <c r="C327" t="str">
        <f>IF(RIGHT(B327,5)="22,22","VIC20","")</f>
        <v/>
      </c>
      <c r="D327">
        <f>SEARCH(",",B327)</f>
        <v>2</v>
      </c>
      <c r="E327">
        <f>SEARCH(",",B327,D327+1)</f>
        <v>4</v>
      </c>
      <c r="F327">
        <f>SEARCH(",",B327,E327+1)</f>
        <v>7</v>
      </c>
      <c r="G327">
        <f>VALUE(MID(B327,1,D327-1))</f>
        <v>3</v>
      </c>
      <c r="H327">
        <f>VALUE(MID(B327,D327+1,E327-D327-1))</f>
        <v>1</v>
      </c>
      <c r="I327">
        <f>VALUE(MID(B327,E327+1,F327-E327-1))</f>
        <v>20</v>
      </c>
      <c r="J327">
        <f>VALUE(MID(B327,F327+1,4))</f>
        <v>30</v>
      </c>
    </row>
    <row r="328" spans="1:10" hidden="1" x14ac:dyDescent="0.25">
      <c r="A328" t="s">
        <v>326</v>
      </c>
      <c r="B328" t="s">
        <v>551</v>
      </c>
      <c r="C328" t="str">
        <f>IF(RIGHT(B328,5)="22,22","VIC20","")</f>
        <v/>
      </c>
      <c r="D328">
        <f>SEARCH(",",B328)</f>
        <v>2</v>
      </c>
      <c r="E328">
        <f>SEARCH(",",B328,D328+1)</f>
        <v>4</v>
      </c>
      <c r="F328">
        <f>SEARCH(",",B328,E328+1)</f>
        <v>7</v>
      </c>
      <c r="G328">
        <f>VALUE(MID(B328,1,D328-1))</f>
        <v>1</v>
      </c>
      <c r="H328">
        <f>VALUE(MID(B328,D328+1,E328-D328-1))</f>
        <v>0</v>
      </c>
      <c r="I328">
        <f>VALUE(MID(B328,E328+1,F328-E328-1))</f>
        <v>22</v>
      </c>
      <c r="J328">
        <f>VALUE(MID(B328,F328+1,4))</f>
        <v>32</v>
      </c>
    </row>
    <row r="329" spans="1:10" hidden="1" x14ac:dyDescent="0.25">
      <c r="A329" t="s">
        <v>327</v>
      </c>
      <c r="B329" t="s">
        <v>546</v>
      </c>
      <c r="C329" t="str">
        <f>IF(RIGHT(B329,5)="22,22","VIC20","")</f>
        <v/>
      </c>
      <c r="D329">
        <f>SEARCH(",",B329)</f>
        <v>2</v>
      </c>
      <c r="E329">
        <f>SEARCH(",",B329,D329+1)</f>
        <v>4</v>
      </c>
      <c r="F329">
        <f>SEARCH(",",B329,E329+1)</f>
        <v>7</v>
      </c>
      <c r="G329">
        <f>VALUE(MID(B329,1,D329-1))</f>
        <v>1</v>
      </c>
      <c r="H329">
        <f>VALUE(MID(B329,D329+1,E329-D329-1))</f>
        <v>0</v>
      </c>
      <c r="I329">
        <f>VALUE(MID(B329,E329+1,F329-E329-1))</f>
        <v>23</v>
      </c>
      <c r="J329">
        <f>VALUE(MID(B329,F329+1,4))</f>
        <v>32</v>
      </c>
    </row>
    <row r="330" spans="1:10" hidden="1" x14ac:dyDescent="0.25">
      <c r="A330" t="s">
        <v>328</v>
      </c>
      <c r="B330" t="s">
        <v>592</v>
      </c>
      <c r="C330" t="str">
        <f>IF(RIGHT(B330,5)="22,22","VIC20","")</f>
        <v/>
      </c>
      <c r="D330">
        <f>SEARCH(",",B330)</f>
        <v>2</v>
      </c>
      <c r="E330">
        <f>SEARCH(",",B330,D330+1)</f>
        <v>4</v>
      </c>
      <c r="F330">
        <f>SEARCH(",",B330,E330+1)</f>
        <v>7</v>
      </c>
      <c r="G330">
        <f>VALUE(MID(B330,1,D330-1))</f>
        <v>1</v>
      </c>
      <c r="H330">
        <f>VALUE(MID(B330,D330+1,E330-D330-1))</f>
        <v>1</v>
      </c>
      <c r="I330">
        <f>VALUE(MID(B330,E330+1,F330-E330-1))</f>
        <v>23</v>
      </c>
      <c r="J330">
        <f>VALUE(MID(B330,F330+1,4))</f>
        <v>30</v>
      </c>
    </row>
    <row r="331" spans="1:10" hidden="1" x14ac:dyDescent="0.25">
      <c r="A331" t="s">
        <v>329</v>
      </c>
      <c r="B331" t="s">
        <v>547</v>
      </c>
      <c r="C331" t="str">
        <f>IF(RIGHT(B331,5)="22,22","VIC20","")</f>
        <v/>
      </c>
      <c r="D331">
        <f>SEARCH(",",B331)</f>
        <v>2</v>
      </c>
      <c r="E331">
        <f>SEARCH(",",B331,D331+1)</f>
        <v>4</v>
      </c>
      <c r="F331">
        <f>SEARCH(",",B331,E331+1)</f>
        <v>7</v>
      </c>
      <c r="G331">
        <f>VALUE(MID(B331,1,D331-1))</f>
        <v>1</v>
      </c>
      <c r="H331">
        <f>VALUE(MID(B331,D331+1,E331-D331-1))</f>
        <v>1</v>
      </c>
      <c r="I331">
        <f>VALUE(MID(B331,E331+1,F331-E331-1))</f>
        <v>18</v>
      </c>
      <c r="J331">
        <f>VALUE(MID(B331,F331+1,4))</f>
        <v>30</v>
      </c>
    </row>
    <row r="332" spans="1:10" x14ac:dyDescent="0.25">
      <c r="A332" t="s">
        <v>209</v>
      </c>
      <c r="B332" t="s">
        <v>552</v>
      </c>
      <c r="C332" t="s">
        <v>544</v>
      </c>
      <c r="D332">
        <f>SEARCH(",",B332)</f>
        <v>2</v>
      </c>
      <c r="E332">
        <f>SEARCH(",",B332,D332+1)</f>
        <v>4</v>
      </c>
      <c r="F332">
        <f>SEARCH(",",B332,E332+1)</f>
        <v>7</v>
      </c>
      <c r="G332">
        <f>VALUE(MID(B332,1,D332-1))</f>
        <v>1</v>
      </c>
      <c r="H332">
        <f>VALUE(MID(B332,D332+1,E332-D332-1))</f>
        <v>1</v>
      </c>
      <c r="I332">
        <f>VALUE(MID(B332,E332+1,F332-E332-1))</f>
        <v>22</v>
      </c>
      <c r="J332">
        <f>VALUE(MID(B332,F332+1,4))</f>
        <v>22</v>
      </c>
    </row>
    <row r="333" spans="1:10" hidden="1" x14ac:dyDescent="0.25">
      <c r="A333" t="s">
        <v>331</v>
      </c>
      <c r="B333" t="s">
        <v>611</v>
      </c>
      <c r="C333" t="str">
        <f>IF(RIGHT(B333,5)="22,22","VIC20","")</f>
        <v/>
      </c>
      <c r="D333">
        <f>SEARCH(",",B333)</f>
        <v>2</v>
      </c>
      <c r="E333">
        <f>SEARCH(",",B333,D333+1)</f>
        <v>4</v>
      </c>
      <c r="F333">
        <f>SEARCH(",",B333,E333+1)</f>
        <v>7</v>
      </c>
      <c r="G333">
        <f>VALUE(MID(B333,1,D333-1))</f>
        <v>1</v>
      </c>
      <c r="H333">
        <f>VALUE(MID(B333,D333+1,E333-D333-1))</f>
        <v>1</v>
      </c>
      <c r="I333">
        <f>VALUE(MID(B333,E333+1,F333-E333-1))</f>
        <v>17</v>
      </c>
      <c r="J333">
        <f>VALUE(MID(B333,F333+1,4))</f>
        <v>30</v>
      </c>
    </row>
    <row r="334" spans="1:10" x14ac:dyDescent="0.25">
      <c r="A334" t="s">
        <v>214</v>
      </c>
      <c r="B334" t="s">
        <v>552</v>
      </c>
      <c r="C334" t="s">
        <v>544</v>
      </c>
      <c r="D334">
        <f>SEARCH(",",B334)</f>
        <v>2</v>
      </c>
      <c r="E334">
        <f>SEARCH(",",B334,D334+1)</f>
        <v>4</v>
      </c>
      <c r="F334">
        <f>SEARCH(",",B334,E334+1)</f>
        <v>7</v>
      </c>
      <c r="G334">
        <f>VALUE(MID(B334,1,D334-1))</f>
        <v>1</v>
      </c>
      <c r="H334">
        <f>VALUE(MID(B334,D334+1,E334-D334-1))</f>
        <v>1</v>
      </c>
      <c r="I334">
        <f>VALUE(MID(B334,E334+1,F334-E334-1))</f>
        <v>22</v>
      </c>
      <c r="J334">
        <f>VALUE(MID(B334,F334+1,4))</f>
        <v>22</v>
      </c>
    </row>
    <row r="335" spans="1:10" x14ac:dyDescent="0.25">
      <c r="A335" t="s">
        <v>215</v>
      </c>
      <c r="B335" t="s">
        <v>552</v>
      </c>
      <c r="C335" t="s">
        <v>544</v>
      </c>
      <c r="D335">
        <f>SEARCH(",",B335)</f>
        <v>2</v>
      </c>
      <c r="E335">
        <f>SEARCH(",",B335,D335+1)</f>
        <v>4</v>
      </c>
      <c r="F335">
        <f>SEARCH(",",B335,E335+1)</f>
        <v>7</v>
      </c>
      <c r="G335">
        <f>VALUE(MID(B335,1,D335-1))</f>
        <v>1</v>
      </c>
      <c r="H335">
        <f>VALUE(MID(B335,D335+1,E335-D335-1))</f>
        <v>1</v>
      </c>
      <c r="I335">
        <f>VALUE(MID(B335,E335+1,F335-E335-1))</f>
        <v>22</v>
      </c>
      <c r="J335">
        <f>VALUE(MID(B335,F335+1,4))</f>
        <v>22</v>
      </c>
    </row>
    <row r="336" spans="1:10" x14ac:dyDescent="0.25">
      <c r="A336" t="s">
        <v>216</v>
      </c>
      <c r="B336" t="s">
        <v>552</v>
      </c>
      <c r="C336" t="s">
        <v>544</v>
      </c>
      <c r="D336">
        <f>SEARCH(",",B336)</f>
        <v>2</v>
      </c>
      <c r="E336">
        <f>SEARCH(",",B336,D336+1)</f>
        <v>4</v>
      </c>
      <c r="F336">
        <f>SEARCH(",",B336,E336+1)</f>
        <v>7</v>
      </c>
      <c r="G336">
        <f>VALUE(MID(B336,1,D336-1))</f>
        <v>1</v>
      </c>
      <c r="H336">
        <f>VALUE(MID(B336,D336+1,E336-D336-1))</f>
        <v>1</v>
      </c>
      <c r="I336">
        <f>VALUE(MID(B336,E336+1,F336-E336-1))</f>
        <v>22</v>
      </c>
      <c r="J336">
        <f>VALUE(MID(B336,F336+1,4))</f>
        <v>22</v>
      </c>
    </row>
    <row r="337" spans="1:10" hidden="1" x14ac:dyDescent="0.25">
      <c r="A337" t="s">
        <v>335</v>
      </c>
      <c r="B337" t="s">
        <v>553</v>
      </c>
      <c r="C337" t="str">
        <f>IF(RIGHT(B337,5)="22,22","VIC20","")</f>
        <v/>
      </c>
      <c r="D337">
        <f>SEARCH(",",B337)</f>
        <v>2</v>
      </c>
      <c r="E337">
        <f>SEARCH(",",B337,D337+1)</f>
        <v>4</v>
      </c>
      <c r="F337">
        <f>SEARCH(",",B337,E337+1)</f>
        <v>7</v>
      </c>
      <c r="G337">
        <f>VALUE(MID(B337,1,D337-1))</f>
        <v>1</v>
      </c>
      <c r="H337">
        <f>VALUE(MID(B337,D337+1,E337-D337-1))</f>
        <v>1</v>
      </c>
      <c r="I337">
        <f>VALUE(MID(B337,E337+1,F337-E337-1))</f>
        <v>19</v>
      </c>
      <c r="J337">
        <f>VALUE(MID(B337,F337+1,4))</f>
        <v>30</v>
      </c>
    </row>
    <row r="338" spans="1:10" hidden="1" x14ac:dyDescent="0.25">
      <c r="A338" t="s">
        <v>336</v>
      </c>
      <c r="B338" t="s">
        <v>612</v>
      </c>
      <c r="C338" t="str">
        <f>IF(RIGHT(B338,5)="22,22","VIC20","")</f>
        <v/>
      </c>
      <c r="D338">
        <f>SEARCH(",",B338)</f>
        <v>2</v>
      </c>
      <c r="E338">
        <f>SEARCH(",",B338,D338+1)</f>
        <v>4</v>
      </c>
      <c r="F338">
        <f>SEARCH(",",B338,E338+1)</f>
        <v>6</v>
      </c>
      <c r="G338">
        <f>VALUE(MID(B338,1,D338-1))</f>
        <v>1</v>
      </c>
      <c r="H338">
        <f>VALUE(MID(B338,D338+1,E338-D338-1))</f>
        <v>0</v>
      </c>
      <c r="I338">
        <f>VALUE(MID(B338,E338+1,F338-E338-1))</f>
        <v>7</v>
      </c>
      <c r="J338">
        <f>VALUE(MID(B338,F338+1,4))</f>
        <v>32</v>
      </c>
    </row>
    <row r="339" spans="1:10" hidden="1" x14ac:dyDescent="0.25">
      <c r="A339" t="s">
        <v>337</v>
      </c>
      <c r="B339" t="s">
        <v>558</v>
      </c>
      <c r="C339" t="str">
        <f>IF(RIGHT(B339,5)="22,22","VIC20","")</f>
        <v/>
      </c>
      <c r="D339">
        <f>SEARCH(",",B339)</f>
        <v>2</v>
      </c>
      <c r="E339">
        <f>SEARCH(",",B339,D339+1)</f>
        <v>4</v>
      </c>
      <c r="F339">
        <f>SEARCH(",",B339,E339+1)</f>
        <v>7</v>
      </c>
      <c r="G339">
        <f>VALUE(MID(B339,1,D339-1))</f>
        <v>0</v>
      </c>
      <c r="H339">
        <f>VALUE(MID(B339,D339+1,E339-D339-1))</f>
        <v>0</v>
      </c>
      <c r="I339">
        <f>VALUE(MID(B339,E339+1,F339-E339-1))</f>
        <v>23</v>
      </c>
      <c r="J339">
        <f>VALUE(MID(B339,F339+1,4))</f>
        <v>32</v>
      </c>
    </row>
    <row r="340" spans="1:10" hidden="1" x14ac:dyDescent="0.25">
      <c r="A340" t="s">
        <v>338</v>
      </c>
      <c r="B340" t="s">
        <v>638</v>
      </c>
      <c r="C340" t="str">
        <f>IF(RIGHT(B340,5)="22,22","VIC20","")</f>
        <v/>
      </c>
      <c r="D340">
        <f>SEARCH(",",B340)</f>
        <v>2</v>
      </c>
      <c r="E340">
        <f>SEARCH(",",B340,D340+1)</f>
        <v>4</v>
      </c>
      <c r="F340">
        <f>SEARCH(",",B340,E340+1)</f>
        <v>6</v>
      </c>
      <c r="G340">
        <f>VALUE(MID(B340,1,D340-1))</f>
        <v>8</v>
      </c>
      <c r="H340">
        <f>VALUE(MID(B340,D340+1,E340-D340-1))</f>
        <v>1</v>
      </c>
      <c r="I340">
        <f>VALUE(MID(B340,E340+1,F340-E340-1))</f>
        <v>9</v>
      </c>
      <c r="J340">
        <f>VALUE(MID(B340,F340+1,4))</f>
        <v>30</v>
      </c>
    </row>
    <row r="341" spans="1:10" x14ac:dyDescent="0.25">
      <c r="A341" t="s">
        <v>217</v>
      </c>
      <c r="B341" t="s">
        <v>552</v>
      </c>
      <c r="C341" t="s">
        <v>544</v>
      </c>
      <c r="D341">
        <f>SEARCH(",",B341)</f>
        <v>2</v>
      </c>
      <c r="E341">
        <f>SEARCH(",",B341,D341+1)</f>
        <v>4</v>
      </c>
      <c r="F341">
        <f>SEARCH(",",B341,E341+1)</f>
        <v>7</v>
      </c>
      <c r="G341">
        <f>VALUE(MID(B341,1,D341-1))</f>
        <v>1</v>
      </c>
      <c r="H341">
        <f>VALUE(MID(B341,D341+1,E341-D341-1))</f>
        <v>1</v>
      </c>
      <c r="I341">
        <f>VALUE(MID(B341,E341+1,F341-E341-1))</f>
        <v>22</v>
      </c>
      <c r="J341">
        <f>VALUE(MID(B341,F341+1,4))</f>
        <v>22</v>
      </c>
    </row>
    <row r="342" spans="1:10" x14ac:dyDescent="0.25">
      <c r="A342" t="s">
        <v>298</v>
      </c>
      <c r="B342" t="s">
        <v>552</v>
      </c>
      <c r="C342" t="s">
        <v>544</v>
      </c>
      <c r="D342">
        <f>SEARCH(",",B342)</f>
        <v>2</v>
      </c>
      <c r="E342">
        <f>SEARCH(",",B342,D342+1)</f>
        <v>4</v>
      </c>
      <c r="F342">
        <f>SEARCH(",",B342,E342+1)</f>
        <v>7</v>
      </c>
      <c r="G342">
        <f>VALUE(MID(B342,1,D342-1))</f>
        <v>1</v>
      </c>
      <c r="H342">
        <f>VALUE(MID(B342,D342+1,E342-D342-1))</f>
        <v>1</v>
      </c>
      <c r="I342">
        <f>VALUE(MID(B342,E342+1,F342-E342-1))</f>
        <v>22</v>
      </c>
      <c r="J342">
        <f>VALUE(MID(B342,F342+1,4))</f>
        <v>22</v>
      </c>
    </row>
    <row r="343" spans="1:10" hidden="1" x14ac:dyDescent="0.25">
      <c r="A343" t="s">
        <v>341</v>
      </c>
      <c r="B343" t="s">
        <v>639</v>
      </c>
      <c r="C343" t="str">
        <f>IF(RIGHT(B343,5)="22,22","VIC20","")</f>
        <v/>
      </c>
      <c r="D343">
        <f>SEARCH(",",B343)</f>
        <v>2</v>
      </c>
      <c r="E343">
        <f>SEARCH(",",B343,D343+1)</f>
        <v>4</v>
      </c>
      <c r="F343">
        <f>SEARCH(",",B343,E343+1)</f>
        <v>7</v>
      </c>
      <c r="G343">
        <f>VALUE(MID(B343,1,D343-1))</f>
        <v>2</v>
      </c>
      <c r="H343">
        <f>VALUE(MID(B343,D343+1,E343-D343-1))</f>
        <v>1</v>
      </c>
      <c r="I343">
        <f>VALUE(MID(B343,E343+1,F343-E343-1))</f>
        <v>19</v>
      </c>
      <c r="J343">
        <f>VALUE(MID(B343,F343+1,4))</f>
        <v>23</v>
      </c>
    </row>
    <row r="344" spans="1:10" x14ac:dyDescent="0.25">
      <c r="A344" t="s">
        <v>521</v>
      </c>
      <c r="B344" t="s">
        <v>552</v>
      </c>
      <c r="C344" t="s">
        <v>544</v>
      </c>
      <c r="D344">
        <f>SEARCH(",",B344)</f>
        <v>2</v>
      </c>
      <c r="E344">
        <f>SEARCH(",",B344,D344+1)</f>
        <v>4</v>
      </c>
      <c r="F344">
        <f>SEARCH(",",B344,E344+1)</f>
        <v>7</v>
      </c>
      <c r="G344">
        <f>VALUE(MID(B344,1,D344-1))</f>
        <v>1</v>
      </c>
      <c r="H344">
        <f>VALUE(MID(B344,D344+1,E344-D344-1))</f>
        <v>1</v>
      </c>
      <c r="I344">
        <f>VALUE(MID(B344,E344+1,F344-E344-1))</f>
        <v>22</v>
      </c>
      <c r="J344">
        <f>VALUE(MID(B344,F344+1,4))</f>
        <v>22</v>
      </c>
    </row>
    <row r="345" spans="1:10" hidden="1" x14ac:dyDescent="0.25">
      <c r="A345" t="s">
        <v>343</v>
      </c>
      <c r="B345" t="s">
        <v>640</v>
      </c>
      <c r="C345" t="str">
        <f>IF(RIGHT(B345,5)="22,22","VIC20","")</f>
        <v/>
      </c>
      <c r="D345">
        <f>SEARCH(",",B345)</f>
        <v>2</v>
      </c>
      <c r="E345">
        <f>SEARCH(",",B345,D345+1)</f>
        <v>4</v>
      </c>
      <c r="F345">
        <f>SEARCH(",",B345,E345+1)</f>
        <v>7</v>
      </c>
      <c r="G345">
        <f>VALUE(MID(B345,1,D345-1))</f>
        <v>1</v>
      </c>
      <c r="H345">
        <f>VALUE(MID(B345,D345+1,E345-D345-1))</f>
        <v>1</v>
      </c>
      <c r="I345">
        <f>VALUE(MID(B345,E345+1,F345-E345-1))</f>
        <v>21</v>
      </c>
      <c r="J345">
        <f>VALUE(MID(B345,F345+1,4))</f>
        <v>26</v>
      </c>
    </row>
    <row r="346" spans="1:10" hidden="1" x14ac:dyDescent="0.25">
      <c r="A346" t="s">
        <v>344</v>
      </c>
      <c r="B346" t="s">
        <v>553</v>
      </c>
      <c r="C346" t="str">
        <f>IF(RIGHT(B346,5)="22,22","VIC20","")</f>
        <v/>
      </c>
      <c r="D346">
        <f>SEARCH(",",B346)</f>
        <v>2</v>
      </c>
      <c r="E346">
        <f>SEARCH(",",B346,D346+1)</f>
        <v>4</v>
      </c>
      <c r="F346">
        <f>SEARCH(",",B346,E346+1)</f>
        <v>7</v>
      </c>
      <c r="G346">
        <f>VALUE(MID(B346,1,D346-1))</f>
        <v>1</v>
      </c>
      <c r="H346">
        <f>VALUE(MID(B346,D346+1,E346-D346-1))</f>
        <v>1</v>
      </c>
      <c r="I346">
        <f>VALUE(MID(B346,E346+1,F346-E346-1))</f>
        <v>19</v>
      </c>
      <c r="J346">
        <f>VALUE(MID(B346,F346+1,4))</f>
        <v>30</v>
      </c>
    </row>
    <row r="347" spans="1:10" hidden="1" x14ac:dyDescent="0.25">
      <c r="A347" t="s">
        <v>345</v>
      </c>
      <c r="B347" t="s">
        <v>553</v>
      </c>
      <c r="C347" t="str">
        <f>IF(RIGHT(B347,5)="22,22","VIC20","")</f>
        <v/>
      </c>
      <c r="D347">
        <f>SEARCH(",",B347)</f>
        <v>2</v>
      </c>
      <c r="E347">
        <f>SEARCH(",",B347,D347+1)</f>
        <v>4</v>
      </c>
      <c r="F347">
        <f>SEARCH(",",B347,E347+1)</f>
        <v>7</v>
      </c>
      <c r="G347">
        <f>VALUE(MID(B347,1,D347-1))</f>
        <v>1</v>
      </c>
      <c r="H347">
        <f>VALUE(MID(B347,D347+1,E347-D347-1))</f>
        <v>1</v>
      </c>
      <c r="I347">
        <f>VALUE(MID(B347,E347+1,F347-E347-1))</f>
        <v>19</v>
      </c>
      <c r="J347">
        <f>VALUE(MID(B347,F347+1,4))</f>
        <v>30</v>
      </c>
    </row>
    <row r="348" spans="1:10" hidden="1" x14ac:dyDescent="0.25">
      <c r="A348" t="s">
        <v>346</v>
      </c>
      <c r="B348" t="s">
        <v>547</v>
      </c>
      <c r="C348" t="str">
        <f>IF(RIGHT(B348,5)="22,22","VIC20","")</f>
        <v/>
      </c>
      <c r="D348">
        <f>SEARCH(",",B348)</f>
        <v>2</v>
      </c>
      <c r="E348">
        <f>SEARCH(",",B348,D348+1)</f>
        <v>4</v>
      </c>
      <c r="F348">
        <f>SEARCH(",",B348,E348+1)</f>
        <v>7</v>
      </c>
      <c r="G348">
        <f>VALUE(MID(B348,1,D348-1))</f>
        <v>1</v>
      </c>
      <c r="H348">
        <f>VALUE(MID(B348,D348+1,E348-D348-1))</f>
        <v>1</v>
      </c>
      <c r="I348">
        <f>VALUE(MID(B348,E348+1,F348-E348-1))</f>
        <v>18</v>
      </c>
      <c r="J348">
        <f>VALUE(MID(B348,F348+1,4))</f>
        <v>30</v>
      </c>
    </row>
    <row r="349" spans="1:10" hidden="1" x14ac:dyDescent="0.25">
      <c r="A349" t="s">
        <v>347</v>
      </c>
      <c r="B349" t="s">
        <v>553</v>
      </c>
      <c r="C349" t="str">
        <f>IF(RIGHT(B349,5)="22,22","VIC20","")</f>
        <v/>
      </c>
      <c r="D349">
        <f>SEARCH(",",B349)</f>
        <v>2</v>
      </c>
      <c r="E349">
        <f>SEARCH(",",B349,D349+1)</f>
        <v>4</v>
      </c>
      <c r="F349">
        <f>SEARCH(",",B349,E349+1)</f>
        <v>7</v>
      </c>
      <c r="G349">
        <f>VALUE(MID(B349,1,D349-1))</f>
        <v>1</v>
      </c>
      <c r="H349">
        <f>VALUE(MID(B349,D349+1,E349-D349-1))</f>
        <v>1</v>
      </c>
      <c r="I349">
        <f>VALUE(MID(B349,E349+1,F349-E349-1))</f>
        <v>19</v>
      </c>
      <c r="J349">
        <f>VALUE(MID(B349,F349+1,4))</f>
        <v>30</v>
      </c>
    </row>
    <row r="350" spans="1:10" hidden="1" x14ac:dyDescent="0.25">
      <c r="A350" t="s">
        <v>348</v>
      </c>
      <c r="B350" t="s">
        <v>550</v>
      </c>
      <c r="C350" t="str">
        <f>IF(RIGHT(B350,5)="22,22","VIC20","")</f>
        <v/>
      </c>
      <c r="D350">
        <f>SEARCH(",",B350)</f>
        <v>2</v>
      </c>
      <c r="E350">
        <f>SEARCH(",",B350,D350+1)</f>
        <v>4</v>
      </c>
      <c r="F350">
        <f>SEARCH(",",B350,E350+1)</f>
        <v>7</v>
      </c>
      <c r="G350">
        <f>VALUE(MID(B350,1,D350-1))</f>
        <v>0</v>
      </c>
      <c r="H350">
        <f>VALUE(MID(B350,D350+1,E350-D350-1))</f>
        <v>1</v>
      </c>
      <c r="I350">
        <f>VALUE(MID(B350,E350+1,F350-E350-1))</f>
        <v>23</v>
      </c>
      <c r="J350">
        <f>VALUE(MID(B350,F350+1,4))</f>
        <v>30</v>
      </c>
    </row>
    <row r="351" spans="1:10" hidden="1" x14ac:dyDescent="0.25">
      <c r="A351" t="s">
        <v>349</v>
      </c>
      <c r="B351" t="s">
        <v>553</v>
      </c>
      <c r="C351" t="str">
        <f>IF(RIGHT(B351,5)="22,22","VIC20","")</f>
        <v/>
      </c>
      <c r="D351">
        <f>SEARCH(",",B351)</f>
        <v>2</v>
      </c>
      <c r="E351">
        <f>SEARCH(",",B351,D351+1)</f>
        <v>4</v>
      </c>
      <c r="F351">
        <f>SEARCH(",",B351,E351+1)</f>
        <v>7</v>
      </c>
      <c r="G351">
        <f>VALUE(MID(B351,1,D351-1))</f>
        <v>1</v>
      </c>
      <c r="H351">
        <f>VALUE(MID(B351,D351+1,E351-D351-1))</f>
        <v>1</v>
      </c>
      <c r="I351">
        <f>VALUE(MID(B351,E351+1,F351-E351-1))</f>
        <v>19</v>
      </c>
      <c r="J351">
        <f>VALUE(MID(B351,F351+1,4))</f>
        <v>30</v>
      </c>
    </row>
    <row r="352" spans="1:10" x14ac:dyDescent="0.25">
      <c r="A352" t="s">
        <v>232</v>
      </c>
      <c r="B352" t="s">
        <v>552</v>
      </c>
      <c r="C352" t="s">
        <v>544</v>
      </c>
      <c r="D352">
        <f>SEARCH(",",B352)</f>
        <v>2</v>
      </c>
      <c r="E352">
        <f>SEARCH(",",B352,D352+1)</f>
        <v>4</v>
      </c>
      <c r="F352">
        <f>SEARCH(",",B352,E352+1)</f>
        <v>7</v>
      </c>
      <c r="G352">
        <f>VALUE(MID(B352,1,D352-1))</f>
        <v>1</v>
      </c>
      <c r="H352">
        <f>VALUE(MID(B352,D352+1,E352-D352-1))</f>
        <v>1</v>
      </c>
      <c r="I352">
        <f>VALUE(MID(B352,E352+1,F352-E352-1))</f>
        <v>22</v>
      </c>
      <c r="J352">
        <f>VALUE(MID(B352,F352+1,4))</f>
        <v>22</v>
      </c>
    </row>
    <row r="353" spans="1:10" x14ac:dyDescent="0.25">
      <c r="A353" t="s">
        <v>402</v>
      </c>
      <c r="B353" t="s">
        <v>552</v>
      </c>
      <c r="C353" t="s">
        <v>544</v>
      </c>
      <c r="D353">
        <f>SEARCH(",",B353)</f>
        <v>2</v>
      </c>
      <c r="E353">
        <f>SEARCH(",",B353,D353+1)</f>
        <v>4</v>
      </c>
      <c r="F353">
        <f>SEARCH(",",B353,E353+1)</f>
        <v>7</v>
      </c>
      <c r="G353">
        <f>VALUE(MID(B353,1,D353-1))</f>
        <v>1</v>
      </c>
      <c r="H353">
        <f>VALUE(MID(B353,D353+1,E353-D353-1))</f>
        <v>1</v>
      </c>
      <c r="I353">
        <f>VALUE(MID(B353,E353+1,F353-E353-1))</f>
        <v>22</v>
      </c>
      <c r="J353">
        <f>VALUE(MID(B353,F353+1,4))</f>
        <v>22</v>
      </c>
    </row>
    <row r="354" spans="1:10" hidden="1" x14ac:dyDescent="0.25">
      <c r="A354" t="s">
        <v>352</v>
      </c>
      <c r="B354" t="s">
        <v>641</v>
      </c>
      <c r="C354" t="str">
        <f>IF(RIGHT(B354,5)="22,22","VIC20","")</f>
        <v/>
      </c>
      <c r="D354">
        <f>SEARCH(",",B354)</f>
        <v>3</v>
      </c>
      <c r="E354">
        <f>SEARCH(",",B354,D354+1)</f>
        <v>5</v>
      </c>
      <c r="F354">
        <f>SEARCH(",",B354,E354+1)</f>
        <v>8</v>
      </c>
      <c r="G354">
        <f>VALUE(MID(B354,1,D354-1))</f>
        <v>33</v>
      </c>
      <c r="H354">
        <f>VALUE(MID(B354,D354+1,E354-D354-1))</f>
        <v>0</v>
      </c>
      <c r="I354">
        <f>VALUE(MID(B354,E354+1,F354-E354-1))</f>
        <v>24</v>
      </c>
      <c r="J354">
        <f>VALUE(MID(B354,F354+1,4))</f>
        <v>34</v>
      </c>
    </row>
    <row r="355" spans="1:10" hidden="1" x14ac:dyDescent="0.25">
      <c r="A355" t="s">
        <v>353</v>
      </c>
      <c r="B355" t="s">
        <v>553</v>
      </c>
      <c r="C355" t="str">
        <f>IF(RIGHT(B355,5)="22,22","VIC20","")</f>
        <v/>
      </c>
      <c r="D355">
        <f>SEARCH(",",B355)</f>
        <v>2</v>
      </c>
      <c r="E355">
        <f>SEARCH(",",B355,D355+1)</f>
        <v>4</v>
      </c>
      <c r="F355">
        <f>SEARCH(",",B355,E355+1)</f>
        <v>7</v>
      </c>
      <c r="G355">
        <f>VALUE(MID(B355,1,D355-1))</f>
        <v>1</v>
      </c>
      <c r="H355">
        <f>VALUE(MID(B355,D355+1,E355-D355-1))</f>
        <v>1</v>
      </c>
      <c r="I355">
        <f>VALUE(MID(B355,E355+1,F355-E355-1))</f>
        <v>19</v>
      </c>
      <c r="J355">
        <f>VALUE(MID(B355,F355+1,4))</f>
        <v>30</v>
      </c>
    </row>
    <row r="356" spans="1:10" hidden="1" x14ac:dyDescent="0.25">
      <c r="A356" t="s">
        <v>354</v>
      </c>
      <c r="B356" t="s">
        <v>614</v>
      </c>
      <c r="C356" t="str">
        <f>IF(RIGHT(B356,5)="22,22","VIC20","")</f>
        <v/>
      </c>
      <c r="D356">
        <f>SEARCH(",",B356)</f>
        <v>2</v>
      </c>
      <c r="E356">
        <f>SEARCH(",",B356,D356+1)</f>
        <v>4</v>
      </c>
      <c r="F356">
        <f>SEARCH(",",B356,E356+1)</f>
        <v>7</v>
      </c>
      <c r="G356">
        <f>VALUE(MID(B356,1,D356-1))</f>
        <v>2</v>
      </c>
      <c r="H356">
        <f>VALUE(MID(B356,D356+1,E356-D356-1))</f>
        <v>1</v>
      </c>
      <c r="I356">
        <f>VALUE(MID(B356,E356+1,F356-E356-1))</f>
        <v>15</v>
      </c>
      <c r="J356">
        <f>VALUE(MID(B356,F356+1,4))</f>
        <v>30</v>
      </c>
    </row>
    <row r="357" spans="1:10" hidden="1" x14ac:dyDescent="0.25">
      <c r="A357" t="s">
        <v>355</v>
      </c>
      <c r="B357" t="s">
        <v>642</v>
      </c>
      <c r="C357" t="str">
        <f>IF(RIGHT(B357,5)="22,22","VIC20","")</f>
        <v/>
      </c>
      <c r="D357">
        <f>SEARCH(",",B357)</f>
        <v>2</v>
      </c>
      <c r="E357">
        <f>SEARCH(",",B357,D357+1)</f>
        <v>4</v>
      </c>
      <c r="F357">
        <f>SEARCH(",",B357,E357+1)</f>
        <v>7</v>
      </c>
      <c r="G357">
        <f>VALUE(MID(B357,1,D357-1))</f>
        <v>4</v>
      </c>
      <c r="H357">
        <f>VALUE(MID(B357,D357+1,E357-D357-1))</f>
        <v>2</v>
      </c>
      <c r="I357">
        <f>VALUE(MID(B357,E357+1,F357-E357-1))</f>
        <v>16</v>
      </c>
      <c r="J357">
        <f>VALUE(MID(B357,F357+1,4))</f>
        <v>28</v>
      </c>
    </row>
    <row r="358" spans="1:10" hidden="1" x14ac:dyDescent="0.25">
      <c r="A358" t="s">
        <v>356</v>
      </c>
      <c r="B358" t="s">
        <v>547</v>
      </c>
      <c r="C358" t="str">
        <f>IF(RIGHT(B358,5)="22,22","VIC20","")</f>
        <v/>
      </c>
      <c r="D358">
        <f>SEARCH(",",B358)</f>
        <v>2</v>
      </c>
      <c r="E358">
        <f>SEARCH(",",B358,D358+1)</f>
        <v>4</v>
      </c>
      <c r="F358">
        <f>SEARCH(",",B358,E358+1)</f>
        <v>7</v>
      </c>
      <c r="G358">
        <f>VALUE(MID(B358,1,D358-1))</f>
        <v>1</v>
      </c>
      <c r="H358">
        <f>VALUE(MID(B358,D358+1,E358-D358-1))</f>
        <v>1</v>
      </c>
      <c r="I358">
        <f>VALUE(MID(B358,E358+1,F358-E358-1))</f>
        <v>18</v>
      </c>
      <c r="J358">
        <f>VALUE(MID(B358,F358+1,4))</f>
        <v>30</v>
      </c>
    </row>
    <row r="359" spans="1:10" hidden="1" x14ac:dyDescent="0.25">
      <c r="A359" t="s">
        <v>357</v>
      </c>
      <c r="B359" t="s">
        <v>554</v>
      </c>
      <c r="C359" t="str">
        <f>IF(RIGHT(B359,5)="22,22","VIC20","")</f>
        <v/>
      </c>
      <c r="D359">
        <f>SEARCH(",",B359)</f>
        <v>2</v>
      </c>
      <c r="E359">
        <f>SEARCH(",",B359,D359+1)</f>
        <v>4</v>
      </c>
      <c r="F359">
        <f>SEARCH(",",B359,E359+1)</f>
        <v>7</v>
      </c>
      <c r="G359">
        <f>VALUE(MID(B359,1,D359-1))</f>
        <v>1</v>
      </c>
      <c r="H359">
        <f>VALUE(MID(B359,D359+1,E359-D359-1))</f>
        <v>1</v>
      </c>
      <c r="I359">
        <f>VALUE(MID(B359,E359+1,F359-E359-1))</f>
        <v>20</v>
      </c>
      <c r="J359">
        <f>VALUE(MID(B359,F359+1,4))</f>
        <v>30</v>
      </c>
    </row>
    <row r="360" spans="1:10" hidden="1" x14ac:dyDescent="0.25">
      <c r="A360" t="s">
        <v>358</v>
      </c>
      <c r="B360" t="s">
        <v>603</v>
      </c>
      <c r="C360" t="str">
        <f>IF(RIGHT(B360,5)="22,22","VIC20","")</f>
        <v/>
      </c>
      <c r="D360">
        <f>SEARCH(",",B360)</f>
        <v>2</v>
      </c>
      <c r="E360">
        <f>SEARCH(",",B360,D360+1)</f>
        <v>4</v>
      </c>
      <c r="F360">
        <f>SEARCH(",",B360,E360+1)</f>
        <v>7</v>
      </c>
      <c r="G360">
        <f>VALUE(MID(B360,1,D360-1))</f>
        <v>0</v>
      </c>
      <c r="H360">
        <f>VALUE(MID(B360,D360+1,E360-D360-1))</f>
        <v>0</v>
      </c>
      <c r="I360">
        <f>VALUE(MID(B360,E360+1,F360-E360-1))</f>
        <v>21</v>
      </c>
      <c r="J360">
        <f>VALUE(MID(B360,F360+1,4))</f>
        <v>30</v>
      </c>
    </row>
    <row r="361" spans="1:10" hidden="1" x14ac:dyDescent="0.25">
      <c r="A361" t="s">
        <v>359</v>
      </c>
      <c r="B361" t="s">
        <v>608</v>
      </c>
      <c r="C361" t="str">
        <f>IF(RIGHT(B361,5)="22,22","VIC20","")</f>
        <v/>
      </c>
      <c r="D361">
        <f>SEARCH(",",B361)</f>
        <v>2</v>
      </c>
      <c r="E361">
        <f>SEARCH(",",B361,D361+1)</f>
        <v>4</v>
      </c>
      <c r="F361">
        <f>SEARCH(",",B361,E361+1)</f>
        <v>7</v>
      </c>
      <c r="G361">
        <f>VALUE(MID(B361,1,D361-1))</f>
        <v>5</v>
      </c>
      <c r="H361">
        <f>VALUE(MID(B361,D361+1,E361-D361-1))</f>
        <v>1</v>
      </c>
      <c r="I361">
        <f>VALUE(MID(B361,E361+1,F361-E361-1))</f>
        <v>18</v>
      </c>
      <c r="J361">
        <f>VALUE(MID(B361,F361+1,4))</f>
        <v>30</v>
      </c>
    </row>
    <row r="362" spans="1:10" x14ac:dyDescent="0.25">
      <c r="A362" t="s">
        <v>112</v>
      </c>
      <c r="B362" t="s">
        <v>552</v>
      </c>
      <c r="C362" t="s">
        <v>544</v>
      </c>
      <c r="D362">
        <f>SEARCH(",",B362)</f>
        <v>2</v>
      </c>
      <c r="E362">
        <f>SEARCH(",",B362,D362+1)</f>
        <v>4</v>
      </c>
      <c r="F362">
        <f>SEARCH(",",B362,E362+1)</f>
        <v>7</v>
      </c>
      <c r="G362">
        <f>VALUE(MID(B362,1,D362-1))</f>
        <v>1</v>
      </c>
      <c r="H362">
        <f>VALUE(MID(B362,D362+1,E362-D362-1))</f>
        <v>1</v>
      </c>
      <c r="I362">
        <f>VALUE(MID(B362,E362+1,F362-E362-1))</f>
        <v>22</v>
      </c>
      <c r="J362">
        <f>VALUE(MID(B362,F362+1,4))</f>
        <v>22</v>
      </c>
    </row>
    <row r="363" spans="1:10" x14ac:dyDescent="0.25">
      <c r="A363" t="s">
        <v>283</v>
      </c>
      <c r="B363" t="s">
        <v>552</v>
      </c>
      <c r="C363" t="s">
        <v>544</v>
      </c>
      <c r="D363">
        <f>SEARCH(",",B363)</f>
        <v>2</v>
      </c>
      <c r="E363">
        <f>SEARCH(",",B363,D363+1)</f>
        <v>4</v>
      </c>
      <c r="F363">
        <f>SEARCH(",",B363,E363+1)</f>
        <v>7</v>
      </c>
      <c r="G363">
        <f>VALUE(MID(B363,1,D363-1))</f>
        <v>1</v>
      </c>
      <c r="H363">
        <f>VALUE(MID(B363,D363+1,E363-D363-1))</f>
        <v>1</v>
      </c>
      <c r="I363">
        <f>VALUE(MID(B363,E363+1,F363-E363-1))</f>
        <v>22</v>
      </c>
      <c r="J363">
        <f>VALUE(MID(B363,F363+1,4))</f>
        <v>22</v>
      </c>
    </row>
    <row r="364" spans="1:10" x14ac:dyDescent="0.25">
      <c r="A364" t="s">
        <v>540</v>
      </c>
      <c r="B364" t="s">
        <v>562</v>
      </c>
      <c r="C364" t="s">
        <v>544</v>
      </c>
      <c r="D364">
        <f>SEARCH(",",B364)</f>
        <v>2</v>
      </c>
      <c r="E364">
        <f>SEARCH(",",B364,D364+1)</f>
        <v>4</v>
      </c>
      <c r="F364">
        <f>SEARCH(",",B364,E364+1)</f>
        <v>7</v>
      </c>
      <c r="G364">
        <f>VALUE(MID(B364,1,D364-1))</f>
        <v>0</v>
      </c>
      <c r="H364">
        <f>VALUE(MID(B364,D364+1,E364-D364-1))</f>
        <v>0</v>
      </c>
      <c r="I364">
        <f>VALUE(MID(B364,E364+1,F364-E364-1))</f>
        <v>22</v>
      </c>
      <c r="J364">
        <f>VALUE(MID(B364,F364+1,4))</f>
        <v>22</v>
      </c>
    </row>
    <row r="365" spans="1:10" hidden="1" x14ac:dyDescent="0.25">
      <c r="A365" t="s">
        <v>363</v>
      </c>
      <c r="B365" t="s">
        <v>643</v>
      </c>
      <c r="C365" t="str">
        <f>IF(RIGHT(B365,5)="22,22","VIC20","")</f>
        <v/>
      </c>
      <c r="D365">
        <f>SEARCH(",",B365)</f>
        <v>2</v>
      </c>
      <c r="E365">
        <f>SEARCH(",",B365,D365+1)</f>
        <v>4</v>
      </c>
      <c r="F365">
        <f>SEARCH(",",B365,E365+1)</f>
        <v>7</v>
      </c>
      <c r="G365">
        <f>VALUE(MID(B365,1,D365-1))</f>
        <v>0</v>
      </c>
      <c r="H365">
        <f>VALUE(MID(B365,D365+1,E365-D365-1))</f>
        <v>0</v>
      </c>
      <c r="I365">
        <f>VALUE(MID(B365,E365+1,F365-E365-1))</f>
        <v>22</v>
      </c>
      <c r="J365">
        <f>VALUE(MID(B365,F365+1,4))</f>
        <v>28</v>
      </c>
    </row>
    <row r="366" spans="1:10" hidden="1" x14ac:dyDescent="0.25">
      <c r="A366" t="s">
        <v>364</v>
      </c>
      <c r="B366" t="s">
        <v>644</v>
      </c>
      <c r="C366" t="str">
        <f>IF(RIGHT(B366,5)="22,22","VIC20","")</f>
        <v/>
      </c>
      <c r="D366">
        <f>SEARCH(",",B366)</f>
        <v>2</v>
      </c>
      <c r="E366">
        <f>SEARCH(",",B366,D366+1)</f>
        <v>4</v>
      </c>
      <c r="F366">
        <f>SEARCH(",",B366,E366+1)</f>
        <v>7</v>
      </c>
      <c r="G366">
        <f>VALUE(MID(B366,1,D366-1))</f>
        <v>0</v>
      </c>
      <c r="H366">
        <f>VALUE(MID(B366,D366+1,E366-D366-1))</f>
        <v>0</v>
      </c>
      <c r="I366">
        <f>VALUE(MID(B366,E366+1,F366-E366-1))</f>
        <v>23</v>
      </c>
      <c r="J366">
        <f>VALUE(MID(B366,F366+1,4))</f>
        <v>29</v>
      </c>
    </row>
    <row r="367" spans="1:10" x14ac:dyDescent="0.25">
      <c r="A367" t="s">
        <v>291</v>
      </c>
      <c r="B367" t="s">
        <v>552</v>
      </c>
      <c r="C367" t="s">
        <v>544</v>
      </c>
      <c r="D367">
        <f>SEARCH(",",B367)</f>
        <v>2</v>
      </c>
      <c r="E367">
        <f>SEARCH(",",B367,D367+1)</f>
        <v>4</v>
      </c>
      <c r="F367">
        <f>SEARCH(",",B367,E367+1)</f>
        <v>7</v>
      </c>
      <c r="G367">
        <f>VALUE(MID(B367,1,D367-1))</f>
        <v>1</v>
      </c>
      <c r="H367">
        <f>VALUE(MID(B367,D367+1,E367-D367-1))</f>
        <v>1</v>
      </c>
      <c r="I367">
        <f>VALUE(MID(B367,E367+1,F367-E367-1))</f>
        <v>22</v>
      </c>
      <c r="J367">
        <f>VALUE(MID(B367,F367+1,4))</f>
        <v>22</v>
      </c>
    </row>
    <row r="368" spans="1:10" hidden="1" x14ac:dyDescent="0.25">
      <c r="A368" t="s">
        <v>366</v>
      </c>
      <c r="B368" t="s">
        <v>557</v>
      </c>
      <c r="C368" t="str">
        <f>IF(RIGHT(B368,5)="22,22","VIC20","")</f>
        <v/>
      </c>
      <c r="D368">
        <f>SEARCH(",",B368)</f>
        <v>2</v>
      </c>
      <c r="E368">
        <f>SEARCH(",",B368,D368+1)</f>
        <v>4</v>
      </c>
      <c r="F368">
        <f>SEARCH(",",B368,E368+1)</f>
        <v>7</v>
      </c>
      <c r="G368">
        <f>VALUE(MID(B368,1,D368-1))</f>
        <v>3</v>
      </c>
      <c r="H368">
        <f>VALUE(MID(B368,D368+1,E368-D368-1))</f>
        <v>1</v>
      </c>
      <c r="I368">
        <f>VALUE(MID(B368,E368+1,F368-E368-1))</f>
        <v>20</v>
      </c>
      <c r="J368">
        <f>VALUE(MID(B368,F368+1,4))</f>
        <v>30</v>
      </c>
    </row>
    <row r="369" spans="1:10" hidden="1" x14ac:dyDescent="0.25">
      <c r="A369" t="s">
        <v>367</v>
      </c>
      <c r="B369" t="s">
        <v>554</v>
      </c>
      <c r="C369" t="str">
        <f>IF(RIGHT(B369,5)="22,22","VIC20","")</f>
        <v/>
      </c>
      <c r="D369">
        <f>SEARCH(",",B369)</f>
        <v>2</v>
      </c>
      <c r="E369">
        <f>SEARCH(",",B369,D369+1)</f>
        <v>4</v>
      </c>
      <c r="F369">
        <f>SEARCH(",",B369,E369+1)</f>
        <v>7</v>
      </c>
      <c r="G369">
        <f>VALUE(MID(B369,1,D369-1))</f>
        <v>1</v>
      </c>
      <c r="H369">
        <f>VALUE(MID(B369,D369+1,E369-D369-1))</f>
        <v>1</v>
      </c>
      <c r="I369">
        <f>VALUE(MID(B369,E369+1,F369-E369-1))</f>
        <v>20</v>
      </c>
      <c r="J369">
        <f>VALUE(MID(B369,F369+1,4))</f>
        <v>30</v>
      </c>
    </row>
    <row r="370" spans="1:10" hidden="1" x14ac:dyDescent="0.25">
      <c r="A370" t="s">
        <v>368</v>
      </c>
      <c r="B370" t="s">
        <v>558</v>
      </c>
      <c r="C370" t="str">
        <f>IF(RIGHT(B370,5)="22,22","VIC20","")</f>
        <v/>
      </c>
      <c r="D370">
        <f>SEARCH(",",B370)</f>
        <v>2</v>
      </c>
      <c r="E370">
        <f>SEARCH(",",B370,D370+1)</f>
        <v>4</v>
      </c>
      <c r="F370">
        <f>SEARCH(",",B370,E370+1)</f>
        <v>7</v>
      </c>
      <c r="G370">
        <f>VALUE(MID(B370,1,D370-1))</f>
        <v>0</v>
      </c>
      <c r="H370">
        <f>VALUE(MID(B370,D370+1,E370-D370-1))</f>
        <v>0</v>
      </c>
      <c r="I370">
        <f>VALUE(MID(B370,E370+1,F370-E370-1))</f>
        <v>23</v>
      </c>
      <c r="J370">
        <f>VALUE(MID(B370,F370+1,4))</f>
        <v>32</v>
      </c>
    </row>
    <row r="371" spans="1:10" hidden="1" x14ac:dyDescent="0.25">
      <c r="A371" t="s">
        <v>369</v>
      </c>
      <c r="B371" t="s">
        <v>645</v>
      </c>
      <c r="C371" t="str">
        <f>IF(RIGHT(B371,5)="22,22","VIC20","")</f>
        <v/>
      </c>
      <c r="D371">
        <f>SEARCH(",",B371)</f>
        <v>2</v>
      </c>
      <c r="E371">
        <f>SEARCH(",",B371,D371+1)</f>
        <v>5</v>
      </c>
      <c r="F371">
        <f>SEARCH(",",B371,E371+1)</f>
        <v>8</v>
      </c>
      <c r="G371">
        <f>VALUE(MID(B371,1,D371-1))</f>
        <v>1</v>
      </c>
      <c r="H371">
        <f>VALUE(MID(B371,D371+1,E371-D371-1))</f>
        <v>10</v>
      </c>
      <c r="I371">
        <f>VALUE(MID(B371,E371+1,F371-E371-1))</f>
        <v>23</v>
      </c>
      <c r="J371">
        <f>VALUE(MID(B371,F371+1,4))</f>
        <v>22</v>
      </c>
    </row>
    <row r="372" spans="1:10" hidden="1" x14ac:dyDescent="0.25">
      <c r="A372" t="s">
        <v>370</v>
      </c>
      <c r="B372" t="s">
        <v>558</v>
      </c>
      <c r="C372" t="str">
        <f>IF(RIGHT(B372,5)="22,22","VIC20","")</f>
        <v/>
      </c>
      <c r="D372">
        <f>SEARCH(",",B372)</f>
        <v>2</v>
      </c>
      <c r="E372">
        <f>SEARCH(",",B372,D372+1)</f>
        <v>4</v>
      </c>
      <c r="F372">
        <f>SEARCH(",",B372,E372+1)</f>
        <v>7</v>
      </c>
      <c r="G372">
        <f>VALUE(MID(B372,1,D372-1))</f>
        <v>0</v>
      </c>
      <c r="H372">
        <f>VALUE(MID(B372,D372+1,E372-D372-1))</f>
        <v>0</v>
      </c>
      <c r="I372">
        <f>VALUE(MID(B372,E372+1,F372-E372-1))</f>
        <v>23</v>
      </c>
      <c r="J372">
        <f>VALUE(MID(B372,F372+1,4))</f>
        <v>32</v>
      </c>
    </row>
    <row r="373" spans="1:10" hidden="1" x14ac:dyDescent="0.25">
      <c r="A373" t="s">
        <v>371</v>
      </c>
      <c r="B373" t="s">
        <v>570</v>
      </c>
      <c r="C373" t="str">
        <f>IF(RIGHT(B373,5)="22,22","VIC20","")</f>
        <v/>
      </c>
      <c r="D373">
        <f>SEARCH(",",B373)</f>
        <v>2</v>
      </c>
      <c r="E373">
        <f>SEARCH(",",B373,D373+1)</f>
        <v>4</v>
      </c>
      <c r="F373">
        <f>SEARCH(",",B373,E373+1)</f>
        <v>7</v>
      </c>
      <c r="G373">
        <f>VALUE(MID(B373,1,D373-1))</f>
        <v>2</v>
      </c>
      <c r="H373">
        <f>VALUE(MID(B373,D373+1,E373-D373-1))</f>
        <v>1</v>
      </c>
      <c r="I373">
        <f>VALUE(MID(B373,E373+1,F373-E373-1))</f>
        <v>21</v>
      </c>
      <c r="J373">
        <f>VALUE(MID(B373,F373+1,4))</f>
        <v>30</v>
      </c>
    </row>
    <row r="374" spans="1:10" hidden="1" x14ac:dyDescent="0.25">
      <c r="A374" t="s">
        <v>372</v>
      </c>
      <c r="B374" t="s">
        <v>548</v>
      </c>
      <c r="C374" t="str">
        <f>IF(RIGHT(B374,5)="22,22","VIC20","")</f>
        <v/>
      </c>
      <c r="D374">
        <f>SEARCH(",",B374)</f>
        <v>2</v>
      </c>
      <c r="E374">
        <f>SEARCH(",",B374,D374+1)</f>
        <v>4</v>
      </c>
      <c r="F374">
        <f>SEARCH(",",B374,E374+1)</f>
        <v>7</v>
      </c>
      <c r="G374">
        <f>VALUE(MID(B374,1,D374-1))</f>
        <v>1</v>
      </c>
      <c r="H374">
        <f>VALUE(MID(B374,D374+1,E374-D374-1))</f>
        <v>1</v>
      </c>
      <c r="I374">
        <f>VALUE(MID(B374,E374+1,F374-E374-1))</f>
        <v>22</v>
      </c>
      <c r="J374">
        <f>VALUE(MID(B374,F374+1,4))</f>
        <v>30</v>
      </c>
    </row>
    <row r="375" spans="1:10" hidden="1" x14ac:dyDescent="0.25">
      <c r="A375" t="s">
        <v>373</v>
      </c>
      <c r="B375" t="s">
        <v>572</v>
      </c>
      <c r="C375" t="str">
        <f>IF(RIGHT(B375,5)="22,22","VIC20","")</f>
        <v/>
      </c>
      <c r="D375">
        <f>SEARCH(",",B375)</f>
        <v>2</v>
      </c>
      <c r="E375">
        <f>SEARCH(",",B375,D375+1)</f>
        <v>4</v>
      </c>
      <c r="F375">
        <f>SEARCH(",",B375,E375+1)</f>
        <v>6</v>
      </c>
      <c r="G375">
        <f>VALUE(MID(B375,1,D375-1))</f>
        <v>0</v>
      </c>
      <c r="H375">
        <f>VALUE(MID(B375,D375+1,E375-D375-1))</f>
        <v>0</v>
      </c>
      <c r="I375">
        <f>VALUE(MID(B375,E375+1,F375-E375-1))</f>
        <v>8</v>
      </c>
      <c r="J375">
        <f>VALUE(MID(B375,F375+1,4))</f>
        <v>32</v>
      </c>
    </row>
    <row r="376" spans="1:10" hidden="1" x14ac:dyDescent="0.25">
      <c r="A376" t="s">
        <v>374</v>
      </c>
      <c r="B376" t="s">
        <v>546</v>
      </c>
      <c r="C376" t="str">
        <f>IF(RIGHT(B376,5)="22,22","VIC20","")</f>
        <v/>
      </c>
      <c r="D376">
        <f>SEARCH(",",B376)</f>
        <v>2</v>
      </c>
      <c r="E376">
        <f>SEARCH(",",B376,D376+1)</f>
        <v>4</v>
      </c>
      <c r="F376">
        <f>SEARCH(",",B376,E376+1)</f>
        <v>7</v>
      </c>
      <c r="G376">
        <f>VALUE(MID(B376,1,D376-1))</f>
        <v>1</v>
      </c>
      <c r="H376">
        <f>VALUE(MID(B376,D376+1,E376-D376-1))</f>
        <v>0</v>
      </c>
      <c r="I376">
        <f>VALUE(MID(B376,E376+1,F376-E376-1))</f>
        <v>23</v>
      </c>
      <c r="J376">
        <f>VALUE(MID(B376,F376+1,4))</f>
        <v>32</v>
      </c>
    </row>
    <row r="377" spans="1:10" hidden="1" x14ac:dyDescent="0.25">
      <c r="A377" t="s">
        <v>375</v>
      </c>
      <c r="B377" t="s">
        <v>553</v>
      </c>
      <c r="C377" t="str">
        <f>IF(RIGHT(B377,5)="22,22","VIC20","")</f>
        <v/>
      </c>
      <c r="D377">
        <f>SEARCH(",",B377)</f>
        <v>2</v>
      </c>
      <c r="E377">
        <f>SEARCH(",",B377,D377+1)</f>
        <v>4</v>
      </c>
      <c r="F377">
        <f>SEARCH(",",B377,E377+1)</f>
        <v>7</v>
      </c>
      <c r="G377">
        <f>VALUE(MID(B377,1,D377-1))</f>
        <v>1</v>
      </c>
      <c r="H377">
        <f>VALUE(MID(B377,D377+1,E377-D377-1))</f>
        <v>1</v>
      </c>
      <c r="I377">
        <f>VALUE(MID(B377,E377+1,F377-E377-1))</f>
        <v>19</v>
      </c>
      <c r="J377">
        <f>VALUE(MID(B377,F377+1,4))</f>
        <v>30</v>
      </c>
    </row>
    <row r="378" spans="1:10" hidden="1" x14ac:dyDescent="0.25">
      <c r="A378" t="s">
        <v>376</v>
      </c>
      <c r="B378" t="s">
        <v>646</v>
      </c>
      <c r="C378" t="str">
        <f>IF(RIGHT(B378,5)="22,22","VIC20","")</f>
        <v/>
      </c>
      <c r="D378">
        <f>SEARCH(",",B378)</f>
        <v>2</v>
      </c>
      <c r="E378">
        <f>SEARCH(",",B378,D378+1)</f>
        <v>4</v>
      </c>
      <c r="F378">
        <f>SEARCH(",",B378,E378+1)</f>
        <v>7</v>
      </c>
      <c r="G378">
        <f>VALUE(MID(B378,1,D378-1))</f>
        <v>2</v>
      </c>
      <c r="H378">
        <f>VALUE(MID(B378,D378+1,E378-D378-1))</f>
        <v>4</v>
      </c>
      <c r="I378">
        <f>VALUE(MID(B378,E378+1,F378-E378-1))</f>
        <v>21</v>
      </c>
      <c r="J378">
        <f>VALUE(MID(B378,F378+1,4))</f>
        <v>24</v>
      </c>
    </row>
    <row r="379" spans="1:10" hidden="1" x14ac:dyDescent="0.25">
      <c r="A379" t="s">
        <v>377</v>
      </c>
      <c r="B379" t="s">
        <v>554</v>
      </c>
      <c r="C379" t="str">
        <f>IF(RIGHT(B379,5)="22,22","VIC20","")</f>
        <v/>
      </c>
      <c r="D379">
        <f>SEARCH(",",B379)</f>
        <v>2</v>
      </c>
      <c r="E379">
        <f>SEARCH(",",B379,D379+1)</f>
        <v>4</v>
      </c>
      <c r="F379">
        <f>SEARCH(",",B379,E379+1)</f>
        <v>7</v>
      </c>
      <c r="G379">
        <f>VALUE(MID(B379,1,D379-1))</f>
        <v>1</v>
      </c>
      <c r="H379">
        <f>VALUE(MID(B379,D379+1,E379-D379-1))</f>
        <v>1</v>
      </c>
      <c r="I379">
        <f>VALUE(MID(B379,E379+1,F379-E379-1))</f>
        <v>20</v>
      </c>
      <c r="J379">
        <f>VALUE(MID(B379,F379+1,4))</f>
        <v>30</v>
      </c>
    </row>
    <row r="380" spans="1:10" hidden="1" x14ac:dyDescent="0.25">
      <c r="A380" t="s">
        <v>378</v>
      </c>
      <c r="B380" t="s">
        <v>547</v>
      </c>
      <c r="C380" t="str">
        <f>IF(RIGHT(B380,5)="22,22","VIC20","")</f>
        <v/>
      </c>
      <c r="D380">
        <f>SEARCH(",",B380)</f>
        <v>2</v>
      </c>
      <c r="E380">
        <f>SEARCH(",",B380,D380+1)</f>
        <v>4</v>
      </c>
      <c r="F380">
        <f>SEARCH(",",B380,E380+1)</f>
        <v>7</v>
      </c>
      <c r="G380">
        <f>VALUE(MID(B380,1,D380-1))</f>
        <v>1</v>
      </c>
      <c r="H380">
        <f>VALUE(MID(B380,D380+1,E380-D380-1))</f>
        <v>1</v>
      </c>
      <c r="I380">
        <f>VALUE(MID(B380,E380+1,F380-E380-1))</f>
        <v>18</v>
      </c>
      <c r="J380">
        <f>VALUE(MID(B380,F380+1,4))</f>
        <v>30</v>
      </c>
    </row>
    <row r="381" spans="1:10" hidden="1" x14ac:dyDescent="0.25">
      <c r="A381" t="s">
        <v>379</v>
      </c>
      <c r="B381" t="s">
        <v>554</v>
      </c>
      <c r="C381" t="str">
        <f>IF(RIGHT(B381,5)="22,22","VIC20","")</f>
        <v/>
      </c>
      <c r="D381">
        <f>SEARCH(",",B381)</f>
        <v>2</v>
      </c>
      <c r="E381">
        <f>SEARCH(",",B381,D381+1)</f>
        <v>4</v>
      </c>
      <c r="F381">
        <f>SEARCH(",",B381,E381+1)</f>
        <v>7</v>
      </c>
      <c r="G381">
        <f>VALUE(MID(B381,1,D381-1))</f>
        <v>1</v>
      </c>
      <c r="H381">
        <f>VALUE(MID(B381,D381+1,E381-D381-1))</f>
        <v>1</v>
      </c>
      <c r="I381">
        <f>VALUE(MID(B381,E381+1,F381-E381-1))</f>
        <v>20</v>
      </c>
      <c r="J381">
        <f>VALUE(MID(B381,F381+1,4))</f>
        <v>30</v>
      </c>
    </row>
    <row r="382" spans="1:10" hidden="1" x14ac:dyDescent="0.25">
      <c r="A382" t="s">
        <v>380</v>
      </c>
      <c r="B382" t="s">
        <v>554</v>
      </c>
      <c r="C382" t="str">
        <f>IF(RIGHT(B382,5)="22,22","VIC20","")</f>
        <v/>
      </c>
      <c r="D382">
        <f>SEARCH(",",B382)</f>
        <v>2</v>
      </c>
      <c r="E382">
        <f>SEARCH(",",B382,D382+1)</f>
        <v>4</v>
      </c>
      <c r="F382">
        <f>SEARCH(",",B382,E382+1)</f>
        <v>7</v>
      </c>
      <c r="G382">
        <f>VALUE(MID(B382,1,D382-1))</f>
        <v>1</v>
      </c>
      <c r="H382">
        <f>VALUE(MID(B382,D382+1,E382-D382-1))</f>
        <v>1</v>
      </c>
      <c r="I382">
        <f>VALUE(MID(B382,E382+1,F382-E382-1))</f>
        <v>20</v>
      </c>
      <c r="J382">
        <f>VALUE(MID(B382,F382+1,4))</f>
        <v>30</v>
      </c>
    </row>
    <row r="383" spans="1:10" x14ac:dyDescent="0.25">
      <c r="A383" t="s">
        <v>537</v>
      </c>
      <c r="B383" t="s">
        <v>668</v>
      </c>
      <c r="C383" t="s">
        <v>544</v>
      </c>
      <c r="D383">
        <f>SEARCH(",",B383)</f>
        <v>4</v>
      </c>
      <c r="E383">
        <f>SEARCH(",",B383,D383+1)</f>
        <v>6</v>
      </c>
      <c r="F383">
        <f>SEARCH(",",B383,E383+1)</f>
        <v>8</v>
      </c>
      <c r="G383">
        <f>VALUE(MID(B383,1,D383-1))</f>
        <v>128</v>
      </c>
      <c r="H383">
        <f>VALUE(MID(B383,D383+1,E383-D383-1))</f>
        <v>1</v>
      </c>
      <c r="I383">
        <f>VALUE(MID(B383,E383+1,F383-E383-1))</f>
        <v>0</v>
      </c>
      <c r="J383">
        <f>VALUE(MID(B383,F383+1,4))</f>
        <v>0</v>
      </c>
    </row>
    <row r="384" spans="1:10" hidden="1" x14ac:dyDescent="0.25">
      <c r="A384" t="s">
        <v>382</v>
      </c>
      <c r="B384" t="s">
        <v>648</v>
      </c>
      <c r="C384" t="str">
        <f>IF(RIGHT(B384,5)="22,22","VIC20","")</f>
        <v/>
      </c>
      <c r="D384">
        <f>SEARCH(",",B384)</f>
        <v>2</v>
      </c>
      <c r="E384">
        <f>SEARCH(",",B384,D384+1)</f>
        <v>4</v>
      </c>
      <c r="F384">
        <f>SEARCH(",",B384,E384+1)</f>
        <v>7</v>
      </c>
      <c r="G384">
        <f>VALUE(MID(B384,1,D384-1))</f>
        <v>0</v>
      </c>
      <c r="H384">
        <f>VALUE(MID(B384,D384+1,E384-D384-1))</f>
        <v>0</v>
      </c>
      <c r="I384">
        <f>VALUE(MID(B384,E384+1,F384-E384-1))</f>
        <v>23</v>
      </c>
      <c r="J384">
        <f>VALUE(MID(B384,F384+1,4))</f>
        <v>31</v>
      </c>
    </row>
    <row r="385" spans="1:10" hidden="1" x14ac:dyDescent="0.25">
      <c r="A385" t="s">
        <v>383</v>
      </c>
      <c r="B385" t="s">
        <v>649</v>
      </c>
      <c r="C385" t="str">
        <f>IF(RIGHT(B385,5)="22,22","VIC20","")</f>
        <v/>
      </c>
      <c r="D385">
        <f>SEARCH(",",B385)</f>
        <v>2</v>
      </c>
      <c r="E385">
        <f>SEARCH(",",B385,D385+1)</f>
        <v>4</v>
      </c>
      <c r="F385">
        <f>SEARCH(",",B385,E385+1)</f>
        <v>7</v>
      </c>
      <c r="G385">
        <f>VALUE(MID(B385,1,D385-1))</f>
        <v>0</v>
      </c>
      <c r="H385">
        <f>VALUE(MID(B385,D385+1,E385-D385-1))</f>
        <v>0</v>
      </c>
      <c r="I385">
        <f>VALUE(MID(B385,E385+1,F385-E385-1))</f>
        <v>23</v>
      </c>
      <c r="J385">
        <f>VALUE(MID(B385,F385+1,4))</f>
        <v>26</v>
      </c>
    </row>
    <row r="386" spans="1:10" hidden="1" x14ac:dyDescent="0.25">
      <c r="A386" t="s">
        <v>384</v>
      </c>
      <c r="B386" t="s">
        <v>553</v>
      </c>
      <c r="C386" t="str">
        <f>IF(RIGHT(B386,5)="22,22","VIC20","")</f>
        <v/>
      </c>
      <c r="D386">
        <f>SEARCH(",",B386)</f>
        <v>2</v>
      </c>
      <c r="E386">
        <f>SEARCH(",",B386,D386+1)</f>
        <v>4</v>
      </c>
      <c r="F386">
        <f>SEARCH(",",B386,E386+1)</f>
        <v>7</v>
      </c>
      <c r="G386">
        <f>VALUE(MID(B386,1,D386-1))</f>
        <v>1</v>
      </c>
      <c r="H386">
        <f>VALUE(MID(B386,D386+1,E386-D386-1))</f>
        <v>1</v>
      </c>
      <c r="I386">
        <f>VALUE(MID(B386,E386+1,F386-E386-1))</f>
        <v>19</v>
      </c>
      <c r="J386">
        <f>VALUE(MID(B386,F386+1,4))</f>
        <v>30</v>
      </c>
    </row>
    <row r="387" spans="1:10" x14ac:dyDescent="0.25">
      <c r="A387" t="s">
        <v>317</v>
      </c>
      <c r="B387" t="s">
        <v>552</v>
      </c>
      <c r="C387" t="s">
        <v>544</v>
      </c>
      <c r="D387">
        <f>SEARCH(",",B387)</f>
        <v>2</v>
      </c>
      <c r="E387">
        <f>SEARCH(",",B387,D387+1)</f>
        <v>4</v>
      </c>
      <c r="F387">
        <f>SEARCH(",",B387,E387+1)</f>
        <v>7</v>
      </c>
      <c r="G387">
        <f>VALUE(MID(B387,1,D387-1))</f>
        <v>1</v>
      </c>
      <c r="H387">
        <f>VALUE(MID(B387,D387+1,E387-D387-1))</f>
        <v>1</v>
      </c>
      <c r="I387">
        <f>VALUE(MID(B387,E387+1,F387-E387-1))</f>
        <v>22</v>
      </c>
      <c r="J387">
        <f>VALUE(MID(B387,F387+1,4))</f>
        <v>22</v>
      </c>
    </row>
    <row r="388" spans="1:10" x14ac:dyDescent="0.25">
      <c r="A388" t="s">
        <v>387</v>
      </c>
      <c r="B388" t="s">
        <v>552</v>
      </c>
      <c r="C388" t="s">
        <v>544</v>
      </c>
      <c r="D388">
        <f>SEARCH(",",B388)</f>
        <v>2</v>
      </c>
      <c r="E388">
        <f>SEARCH(",",B388,D388+1)</f>
        <v>4</v>
      </c>
      <c r="F388">
        <f>SEARCH(",",B388,E388+1)</f>
        <v>7</v>
      </c>
      <c r="G388">
        <f>VALUE(MID(B388,1,D388-1))</f>
        <v>1</v>
      </c>
      <c r="H388">
        <f>VALUE(MID(B388,D388+1,E388-D388-1))</f>
        <v>1</v>
      </c>
      <c r="I388">
        <f>VALUE(MID(B388,E388+1,F388-E388-1))</f>
        <v>22</v>
      </c>
      <c r="J388">
        <f>VALUE(MID(B388,F388+1,4))</f>
        <v>22</v>
      </c>
    </row>
    <row r="389" spans="1:10" x14ac:dyDescent="0.25">
      <c r="A389" t="s">
        <v>515</v>
      </c>
      <c r="B389" t="s">
        <v>665</v>
      </c>
      <c r="C389" t="s">
        <v>544</v>
      </c>
      <c r="D389">
        <f>SEARCH(",",B389)</f>
        <v>2</v>
      </c>
      <c r="E389">
        <f>SEARCH(",",B389,D389+1)</f>
        <v>4</v>
      </c>
      <c r="F389">
        <f>SEARCH(",",B389,E389+1)</f>
        <v>7</v>
      </c>
      <c r="G389">
        <f>VALUE(MID(B389,1,D389-1))</f>
        <v>1</v>
      </c>
      <c r="H389">
        <f>VALUE(MID(B389,D389+1,E389-D389-1))</f>
        <v>0</v>
      </c>
      <c r="I389">
        <f>VALUE(MID(B389,E389+1,F389-E389-1))</f>
        <v>22</v>
      </c>
      <c r="J389">
        <f>VALUE(MID(B389,F389+1,4))</f>
        <v>22</v>
      </c>
    </row>
    <row r="390" spans="1:10" hidden="1" x14ac:dyDescent="0.25">
      <c r="A390" t="s">
        <v>388</v>
      </c>
      <c r="B390" t="s">
        <v>594</v>
      </c>
      <c r="C390" t="str">
        <f>IF(RIGHT(B390,5)="22,22","VIC20","")</f>
        <v/>
      </c>
      <c r="D390">
        <f>SEARCH(",",B390)</f>
        <v>2</v>
      </c>
      <c r="E390">
        <f>SEARCH(",",B390,D390+1)</f>
        <v>4</v>
      </c>
      <c r="F390">
        <f>SEARCH(",",B390,E390+1)</f>
        <v>7</v>
      </c>
      <c r="G390">
        <f>VALUE(MID(B390,1,D390-1))</f>
        <v>1</v>
      </c>
      <c r="H390">
        <f>VALUE(MID(B390,D390+1,E390-D390-1))</f>
        <v>1</v>
      </c>
      <c r="I390">
        <f>VALUE(MID(B390,E390+1,F390-E390-1))</f>
        <v>21</v>
      </c>
      <c r="J390">
        <f>VALUE(MID(B390,F390+1,4))</f>
        <v>30</v>
      </c>
    </row>
    <row r="391" spans="1:10" hidden="1" x14ac:dyDescent="0.25">
      <c r="A391" t="s">
        <v>389</v>
      </c>
      <c r="B391" t="s">
        <v>548</v>
      </c>
      <c r="C391" t="str">
        <f>IF(RIGHT(B391,5)="22,22","VIC20","")</f>
        <v/>
      </c>
      <c r="D391">
        <f>SEARCH(",",B391)</f>
        <v>2</v>
      </c>
      <c r="E391">
        <f>SEARCH(",",B391,D391+1)</f>
        <v>4</v>
      </c>
      <c r="F391">
        <f>SEARCH(",",B391,E391+1)</f>
        <v>7</v>
      </c>
      <c r="G391">
        <f>VALUE(MID(B391,1,D391-1))</f>
        <v>1</v>
      </c>
      <c r="H391">
        <f>VALUE(MID(B391,D391+1,E391-D391-1))</f>
        <v>1</v>
      </c>
      <c r="I391">
        <f>VALUE(MID(B391,E391+1,F391-E391-1))</f>
        <v>22</v>
      </c>
      <c r="J391">
        <f>VALUE(MID(B391,F391+1,4))</f>
        <v>30</v>
      </c>
    </row>
    <row r="392" spans="1:10" hidden="1" x14ac:dyDescent="0.25">
      <c r="A392" t="s">
        <v>390</v>
      </c>
      <c r="B392" t="s">
        <v>548</v>
      </c>
      <c r="C392" t="str">
        <f>IF(RIGHT(B392,5)="22,22","VIC20","")</f>
        <v/>
      </c>
      <c r="D392">
        <f>SEARCH(",",B392)</f>
        <v>2</v>
      </c>
      <c r="E392">
        <f>SEARCH(",",B392,D392+1)</f>
        <v>4</v>
      </c>
      <c r="F392">
        <f>SEARCH(",",B392,E392+1)</f>
        <v>7</v>
      </c>
      <c r="G392">
        <f>VALUE(MID(B392,1,D392-1))</f>
        <v>1</v>
      </c>
      <c r="H392">
        <f>VALUE(MID(B392,D392+1,E392-D392-1))</f>
        <v>1</v>
      </c>
      <c r="I392">
        <f>VALUE(MID(B392,E392+1,F392-E392-1))</f>
        <v>22</v>
      </c>
      <c r="J392">
        <f>VALUE(MID(B392,F392+1,4))</f>
        <v>30</v>
      </c>
    </row>
    <row r="393" spans="1:10" x14ac:dyDescent="0.25">
      <c r="A393" t="s">
        <v>485</v>
      </c>
      <c r="B393" t="s">
        <v>615</v>
      </c>
      <c r="C393" t="s">
        <v>544</v>
      </c>
      <c r="D393">
        <f>SEARCH(",",B393)</f>
        <v>2</v>
      </c>
      <c r="E393">
        <f>SEARCH(",",B393,D393+1)</f>
        <v>4</v>
      </c>
      <c r="F393">
        <f>SEARCH(",",B393,E393+1)</f>
        <v>6</v>
      </c>
      <c r="G393">
        <f>VALUE(MID(B393,1,D393-1))</f>
        <v>0</v>
      </c>
      <c r="H393">
        <f>VALUE(MID(B393,D393+1,E393-D393-1))</f>
        <v>0</v>
      </c>
      <c r="I393">
        <f>VALUE(MID(B393,E393+1,F393-E393-1))</f>
        <v>0</v>
      </c>
      <c r="J393">
        <f>VALUE(MID(B393,F393+1,4))</f>
        <v>0</v>
      </c>
    </row>
    <row r="394" spans="1:10" hidden="1" x14ac:dyDescent="0.25">
      <c r="A394" t="s">
        <v>392</v>
      </c>
      <c r="B394" t="s">
        <v>548</v>
      </c>
      <c r="C394" t="str">
        <f>IF(RIGHT(B394,5)="22,22","VIC20","")</f>
        <v/>
      </c>
      <c r="D394">
        <f>SEARCH(",",B394)</f>
        <v>2</v>
      </c>
      <c r="E394">
        <f>SEARCH(",",B394,D394+1)</f>
        <v>4</v>
      </c>
      <c r="F394">
        <f>SEARCH(",",B394,E394+1)</f>
        <v>7</v>
      </c>
      <c r="G394">
        <f>VALUE(MID(B394,1,D394-1))</f>
        <v>1</v>
      </c>
      <c r="H394">
        <f>VALUE(MID(B394,D394+1,E394-D394-1))</f>
        <v>1</v>
      </c>
      <c r="I394">
        <f>VALUE(MID(B394,E394+1,F394-E394-1))</f>
        <v>22</v>
      </c>
      <c r="J394">
        <f>VALUE(MID(B394,F394+1,4))</f>
        <v>30</v>
      </c>
    </row>
    <row r="395" spans="1:10" hidden="1" x14ac:dyDescent="0.25">
      <c r="A395" t="s">
        <v>393</v>
      </c>
      <c r="B395" t="s">
        <v>548</v>
      </c>
      <c r="C395" t="str">
        <f>IF(RIGHT(B395,5)="22,22","VIC20","")</f>
        <v/>
      </c>
      <c r="D395">
        <f>SEARCH(",",B395)</f>
        <v>2</v>
      </c>
      <c r="E395">
        <f>SEARCH(",",B395,D395+1)</f>
        <v>4</v>
      </c>
      <c r="F395">
        <f>SEARCH(",",B395,E395+1)</f>
        <v>7</v>
      </c>
      <c r="G395">
        <f>VALUE(MID(B395,1,D395-1))</f>
        <v>1</v>
      </c>
      <c r="H395">
        <f>VALUE(MID(B395,D395+1,E395-D395-1))</f>
        <v>1</v>
      </c>
      <c r="I395">
        <f>VALUE(MID(B395,E395+1,F395-E395-1))</f>
        <v>22</v>
      </c>
      <c r="J395">
        <f>VALUE(MID(B395,F395+1,4))</f>
        <v>30</v>
      </c>
    </row>
    <row r="396" spans="1:10" hidden="1" x14ac:dyDescent="0.25">
      <c r="A396" t="s">
        <v>394</v>
      </c>
      <c r="B396" t="s">
        <v>603</v>
      </c>
      <c r="C396" t="str">
        <f>IF(RIGHT(B396,5)="22,22","VIC20","")</f>
        <v/>
      </c>
      <c r="D396">
        <f>SEARCH(",",B396)</f>
        <v>2</v>
      </c>
      <c r="E396">
        <f>SEARCH(",",B396,D396+1)</f>
        <v>4</v>
      </c>
      <c r="F396">
        <f>SEARCH(",",B396,E396+1)</f>
        <v>7</v>
      </c>
      <c r="G396">
        <f>VALUE(MID(B396,1,D396-1))</f>
        <v>0</v>
      </c>
      <c r="H396">
        <f>VALUE(MID(B396,D396+1,E396-D396-1))</f>
        <v>0</v>
      </c>
      <c r="I396">
        <f>VALUE(MID(B396,E396+1,F396-E396-1))</f>
        <v>21</v>
      </c>
      <c r="J396">
        <f>VALUE(MID(B396,F396+1,4))</f>
        <v>30</v>
      </c>
    </row>
    <row r="397" spans="1:10" hidden="1" x14ac:dyDescent="0.25">
      <c r="A397" t="s">
        <v>395</v>
      </c>
      <c r="B397" t="s">
        <v>548</v>
      </c>
      <c r="C397" t="str">
        <f>IF(RIGHT(B397,5)="22,22","VIC20","")</f>
        <v/>
      </c>
      <c r="D397">
        <f>SEARCH(",",B397)</f>
        <v>2</v>
      </c>
      <c r="E397">
        <f>SEARCH(",",B397,D397+1)</f>
        <v>4</v>
      </c>
      <c r="F397">
        <f>SEARCH(",",B397,E397+1)</f>
        <v>7</v>
      </c>
      <c r="G397">
        <f>VALUE(MID(B397,1,D397-1))</f>
        <v>1</v>
      </c>
      <c r="H397">
        <f>VALUE(MID(B397,D397+1,E397-D397-1))</f>
        <v>1</v>
      </c>
      <c r="I397">
        <f>VALUE(MID(B397,E397+1,F397-E397-1))</f>
        <v>22</v>
      </c>
      <c r="J397">
        <f>VALUE(MID(B397,F397+1,4))</f>
        <v>30</v>
      </c>
    </row>
    <row r="398" spans="1:10" hidden="1" x14ac:dyDescent="0.25">
      <c r="A398" t="s">
        <v>396</v>
      </c>
      <c r="B398" t="s">
        <v>548</v>
      </c>
      <c r="C398" t="str">
        <f>IF(RIGHT(B398,5)="22,22","VIC20","")</f>
        <v/>
      </c>
      <c r="D398">
        <f>SEARCH(",",B398)</f>
        <v>2</v>
      </c>
      <c r="E398">
        <f>SEARCH(",",B398,D398+1)</f>
        <v>4</v>
      </c>
      <c r="F398">
        <f>SEARCH(",",B398,E398+1)</f>
        <v>7</v>
      </c>
      <c r="G398">
        <f>VALUE(MID(B398,1,D398-1))</f>
        <v>1</v>
      </c>
      <c r="H398">
        <f>VALUE(MID(B398,D398+1,E398-D398-1))</f>
        <v>1</v>
      </c>
      <c r="I398">
        <f>VALUE(MID(B398,E398+1,F398-E398-1))</f>
        <v>22</v>
      </c>
      <c r="J398">
        <f>VALUE(MID(B398,F398+1,4))</f>
        <v>30</v>
      </c>
    </row>
    <row r="399" spans="1:10" hidden="1" x14ac:dyDescent="0.25">
      <c r="A399" t="s">
        <v>397</v>
      </c>
      <c r="B399" t="s">
        <v>650</v>
      </c>
      <c r="C399" t="str">
        <f>IF(RIGHT(B399,5)="22,22","VIC20","")</f>
        <v/>
      </c>
      <c r="D399">
        <f>SEARCH(",",B399)</f>
        <v>2</v>
      </c>
      <c r="E399">
        <f>SEARCH(",",B399,D399+1)</f>
        <v>4</v>
      </c>
      <c r="F399">
        <f>SEARCH(",",B399,E399+1)</f>
        <v>7</v>
      </c>
      <c r="G399">
        <f>VALUE(MID(B399,1,D399-1))</f>
        <v>2</v>
      </c>
      <c r="H399">
        <f>VALUE(MID(B399,D399+1,E399-D399-1))</f>
        <v>1</v>
      </c>
      <c r="I399">
        <f>VALUE(MID(B399,E399+1,F399-E399-1))</f>
        <v>20</v>
      </c>
      <c r="J399">
        <f>VALUE(MID(B399,F399+1,4))</f>
        <v>29</v>
      </c>
    </row>
    <row r="400" spans="1:10" hidden="1" x14ac:dyDescent="0.25">
      <c r="A400" t="s">
        <v>398</v>
      </c>
      <c r="B400" t="s">
        <v>548</v>
      </c>
      <c r="C400" t="str">
        <f>IF(RIGHT(B400,5)="22,22","VIC20","")</f>
        <v/>
      </c>
      <c r="D400">
        <f>SEARCH(",",B400)</f>
        <v>2</v>
      </c>
      <c r="E400">
        <f>SEARCH(",",B400,D400+1)</f>
        <v>4</v>
      </c>
      <c r="F400">
        <f>SEARCH(",",B400,E400+1)</f>
        <v>7</v>
      </c>
      <c r="G400">
        <f>VALUE(MID(B400,1,D400-1))</f>
        <v>1</v>
      </c>
      <c r="H400">
        <f>VALUE(MID(B400,D400+1,E400-D400-1))</f>
        <v>1</v>
      </c>
      <c r="I400">
        <f>VALUE(MID(B400,E400+1,F400-E400-1))</f>
        <v>22</v>
      </c>
      <c r="J400">
        <f>VALUE(MID(B400,F400+1,4))</f>
        <v>30</v>
      </c>
    </row>
    <row r="401" spans="1:10" hidden="1" x14ac:dyDescent="0.25">
      <c r="A401" t="s">
        <v>399</v>
      </c>
      <c r="B401" t="s">
        <v>548</v>
      </c>
      <c r="C401" t="str">
        <f>IF(RIGHT(B401,5)="22,22","VIC20","")</f>
        <v/>
      </c>
      <c r="D401">
        <f>SEARCH(",",B401)</f>
        <v>2</v>
      </c>
      <c r="E401">
        <f>SEARCH(",",B401,D401+1)</f>
        <v>4</v>
      </c>
      <c r="F401">
        <f>SEARCH(",",B401,E401+1)</f>
        <v>7</v>
      </c>
      <c r="G401">
        <f>VALUE(MID(B401,1,D401-1))</f>
        <v>1</v>
      </c>
      <c r="H401">
        <f>VALUE(MID(B401,D401+1,E401-D401-1))</f>
        <v>1</v>
      </c>
      <c r="I401">
        <f>VALUE(MID(B401,E401+1,F401-E401-1))</f>
        <v>22</v>
      </c>
      <c r="J401">
        <f>VALUE(MID(B401,F401+1,4))</f>
        <v>30</v>
      </c>
    </row>
    <row r="402" spans="1:10" hidden="1" x14ac:dyDescent="0.25">
      <c r="A402" t="s">
        <v>400</v>
      </c>
      <c r="B402" t="s">
        <v>548</v>
      </c>
      <c r="C402" t="str">
        <f>IF(RIGHT(B402,5)="22,22","VIC20","")</f>
        <v/>
      </c>
      <c r="D402">
        <f>SEARCH(",",B402)</f>
        <v>2</v>
      </c>
      <c r="E402">
        <f>SEARCH(",",B402,D402+1)</f>
        <v>4</v>
      </c>
      <c r="F402">
        <f>SEARCH(",",B402,E402+1)</f>
        <v>7</v>
      </c>
      <c r="G402">
        <f>VALUE(MID(B402,1,D402-1))</f>
        <v>1</v>
      </c>
      <c r="H402">
        <f>VALUE(MID(B402,D402+1,E402-D402-1))</f>
        <v>1</v>
      </c>
      <c r="I402">
        <f>VALUE(MID(B402,E402+1,F402-E402-1))</f>
        <v>22</v>
      </c>
      <c r="J402">
        <f>VALUE(MID(B402,F402+1,4))</f>
        <v>30</v>
      </c>
    </row>
    <row r="403" spans="1:10" x14ac:dyDescent="0.25">
      <c r="A403" t="s">
        <v>330</v>
      </c>
      <c r="B403" t="s">
        <v>637</v>
      </c>
      <c r="C403" t="s">
        <v>544</v>
      </c>
      <c r="D403">
        <f>SEARCH(",",B403)</f>
        <v>2</v>
      </c>
      <c r="E403">
        <f>SEARCH(",",B403,D403+1)</f>
        <v>4</v>
      </c>
      <c r="F403">
        <f>SEARCH(",",B403,E403+1)</f>
        <v>6</v>
      </c>
      <c r="G403">
        <f>VALUE(MID(B403,1,D403-1))</f>
        <v>1</v>
      </c>
      <c r="H403">
        <f>VALUE(MID(B403,D403+1,E403-D403-1))</f>
        <v>1</v>
      </c>
      <c r="I403">
        <f>VALUE(MID(B403,E403+1,F403-E403-1))</f>
        <v>8</v>
      </c>
      <c r="J403">
        <f>VALUE(MID(B403,F403+1,4))</f>
        <v>8</v>
      </c>
    </row>
    <row r="404" spans="1:10" x14ac:dyDescent="0.25">
      <c r="A404" t="s">
        <v>468</v>
      </c>
      <c r="B404" t="s">
        <v>552</v>
      </c>
      <c r="C404" t="s">
        <v>544</v>
      </c>
      <c r="D404">
        <f>SEARCH(",",B404)</f>
        <v>2</v>
      </c>
      <c r="E404">
        <f>SEARCH(",",B404,D404+1)</f>
        <v>4</v>
      </c>
      <c r="F404">
        <f>SEARCH(",",B404,E404+1)</f>
        <v>7</v>
      </c>
      <c r="G404">
        <f>VALUE(MID(B404,1,D404-1))</f>
        <v>1</v>
      </c>
      <c r="H404">
        <f>VALUE(MID(B404,D404+1,E404-D404-1))</f>
        <v>1</v>
      </c>
      <c r="I404">
        <f>VALUE(MID(B404,E404+1,F404-E404-1))</f>
        <v>22</v>
      </c>
      <c r="J404">
        <f>VALUE(MID(B404,F404+1,4))</f>
        <v>22</v>
      </c>
    </row>
    <row r="405" spans="1:10" hidden="1" x14ac:dyDescent="0.25">
      <c r="A405" t="s">
        <v>403</v>
      </c>
      <c r="B405" t="s">
        <v>572</v>
      </c>
      <c r="C405" t="str">
        <f>IF(RIGHT(B405,5)="22,22","VIC20","")</f>
        <v/>
      </c>
      <c r="D405">
        <f>SEARCH(",",B405)</f>
        <v>2</v>
      </c>
      <c r="E405">
        <f>SEARCH(",",B405,D405+1)</f>
        <v>4</v>
      </c>
      <c r="F405">
        <f>SEARCH(",",B405,E405+1)</f>
        <v>6</v>
      </c>
      <c r="G405">
        <f>VALUE(MID(B405,1,D405-1))</f>
        <v>0</v>
      </c>
      <c r="H405">
        <f>VALUE(MID(B405,D405+1,E405-D405-1))</f>
        <v>0</v>
      </c>
      <c r="I405">
        <f>VALUE(MID(B405,E405+1,F405-E405-1))</f>
        <v>8</v>
      </c>
      <c r="J405">
        <f>VALUE(MID(B405,F405+1,4))</f>
        <v>32</v>
      </c>
    </row>
    <row r="406" spans="1:10" hidden="1" x14ac:dyDescent="0.25">
      <c r="A406" t="s">
        <v>404</v>
      </c>
      <c r="B406" t="s">
        <v>603</v>
      </c>
      <c r="C406" t="str">
        <f>IF(RIGHT(B406,5)="22,22","VIC20","")</f>
        <v/>
      </c>
      <c r="D406">
        <f>SEARCH(",",B406)</f>
        <v>2</v>
      </c>
      <c r="E406">
        <f>SEARCH(",",B406,D406+1)</f>
        <v>4</v>
      </c>
      <c r="F406">
        <f>SEARCH(",",B406,E406+1)</f>
        <v>7</v>
      </c>
      <c r="G406">
        <f>VALUE(MID(B406,1,D406-1))</f>
        <v>0</v>
      </c>
      <c r="H406">
        <f>VALUE(MID(B406,D406+1,E406-D406-1))</f>
        <v>0</v>
      </c>
      <c r="I406">
        <f>VALUE(MID(B406,E406+1,F406-E406-1))</f>
        <v>21</v>
      </c>
      <c r="J406">
        <f>VALUE(MID(B406,F406+1,4))</f>
        <v>30</v>
      </c>
    </row>
    <row r="407" spans="1:10" hidden="1" x14ac:dyDescent="0.25">
      <c r="A407" t="s">
        <v>405</v>
      </c>
      <c r="B407" t="s">
        <v>548</v>
      </c>
      <c r="C407" t="str">
        <f>IF(RIGHT(B407,5)="22,22","VIC20","")</f>
        <v/>
      </c>
      <c r="D407">
        <f>SEARCH(",",B407)</f>
        <v>2</v>
      </c>
      <c r="E407">
        <f>SEARCH(",",B407,D407+1)</f>
        <v>4</v>
      </c>
      <c r="F407">
        <f>SEARCH(",",B407,E407+1)</f>
        <v>7</v>
      </c>
      <c r="G407">
        <f>VALUE(MID(B407,1,D407-1))</f>
        <v>1</v>
      </c>
      <c r="H407">
        <f>VALUE(MID(B407,D407+1,E407-D407-1))</f>
        <v>1</v>
      </c>
      <c r="I407">
        <f>VALUE(MID(B407,E407+1,F407-E407-1))</f>
        <v>22</v>
      </c>
      <c r="J407">
        <f>VALUE(MID(B407,F407+1,4))</f>
        <v>30</v>
      </c>
    </row>
    <row r="408" spans="1:10" hidden="1" x14ac:dyDescent="0.25">
      <c r="A408" t="s">
        <v>406</v>
      </c>
      <c r="B408" t="s">
        <v>572</v>
      </c>
      <c r="C408" t="str">
        <f>IF(RIGHT(B408,5)="22,22","VIC20","")</f>
        <v/>
      </c>
      <c r="D408">
        <f>SEARCH(",",B408)</f>
        <v>2</v>
      </c>
      <c r="E408">
        <f>SEARCH(",",B408,D408+1)</f>
        <v>4</v>
      </c>
      <c r="F408">
        <f>SEARCH(",",B408,E408+1)</f>
        <v>6</v>
      </c>
      <c r="G408">
        <f>VALUE(MID(B408,1,D408-1))</f>
        <v>0</v>
      </c>
      <c r="H408">
        <f>VALUE(MID(B408,D408+1,E408-D408-1))</f>
        <v>0</v>
      </c>
      <c r="I408">
        <f>VALUE(MID(B408,E408+1,F408-E408-1))</f>
        <v>8</v>
      </c>
      <c r="J408">
        <f>VALUE(MID(B408,F408+1,4))</f>
        <v>32</v>
      </c>
    </row>
    <row r="409" spans="1:10" hidden="1" x14ac:dyDescent="0.25">
      <c r="A409" t="s">
        <v>407</v>
      </c>
      <c r="B409" t="s">
        <v>548</v>
      </c>
      <c r="C409" t="str">
        <f>IF(RIGHT(B409,5)="22,22","VIC20","")</f>
        <v/>
      </c>
      <c r="D409">
        <f>SEARCH(",",B409)</f>
        <v>2</v>
      </c>
      <c r="E409">
        <f>SEARCH(",",B409,D409+1)</f>
        <v>4</v>
      </c>
      <c r="F409">
        <f>SEARCH(",",B409,E409+1)</f>
        <v>7</v>
      </c>
      <c r="G409">
        <f>VALUE(MID(B409,1,D409-1))</f>
        <v>1</v>
      </c>
      <c r="H409">
        <f>VALUE(MID(B409,D409+1,E409-D409-1))</f>
        <v>1</v>
      </c>
      <c r="I409">
        <f>VALUE(MID(B409,E409+1,F409-E409-1))</f>
        <v>22</v>
      </c>
      <c r="J409">
        <f>VALUE(MID(B409,F409+1,4))</f>
        <v>30</v>
      </c>
    </row>
    <row r="410" spans="1:10" hidden="1" x14ac:dyDescent="0.25">
      <c r="A410" t="s">
        <v>408</v>
      </c>
      <c r="B410" t="s">
        <v>652</v>
      </c>
      <c r="C410" t="str">
        <f>IF(RIGHT(B410,5)="22,22","VIC20","")</f>
        <v/>
      </c>
      <c r="D410">
        <f>SEARCH(",",B410)</f>
        <v>2</v>
      </c>
      <c r="E410">
        <f>SEARCH(",",B410,D410+1)</f>
        <v>4</v>
      </c>
      <c r="F410">
        <f>SEARCH(",",B410,E410+1)</f>
        <v>6</v>
      </c>
      <c r="G410">
        <f>VALUE(MID(B410,1,D410-1))</f>
        <v>0</v>
      </c>
      <c r="H410">
        <f>VALUE(MID(B410,D410+1,E410-D410-1))</f>
        <v>0</v>
      </c>
      <c r="I410">
        <f>VALUE(MID(B410,E410+1,F410-E410-1))</f>
        <v>8</v>
      </c>
      <c r="J410">
        <f>VALUE(MID(B410,F410+1,4))</f>
        <v>30</v>
      </c>
    </row>
    <row r="411" spans="1:10" hidden="1" x14ac:dyDescent="0.25">
      <c r="A411" t="s">
        <v>409</v>
      </c>
      <c r="B411" t="s">
        <v>548</v>
      </c>
      <c r="C411" t="str">
        <f>IF(RIGHT(B411,5)="22,22","VIC20","")</f>
        <v/>
      </c>
      <c r="D411">
        <f>SEARCH(",",B411)</f>
        <v>2</v>
      </c>
      <c r="E411">
        <f>SEARCH(",",B411,D411+1)</f>
        <v>4</v>
      </c>
      <c r="F411">
        <f>SEARCH(",",B411,E411+1)</f>
        <v>7</v>
      </c>
      <c r="G411">
        <f>VALUE(MID(B411,1,D411-1))</f>
        <v>1</v>
      </c>
      <c r="H411">
        <f>VALUE(MID(B411,D411+1,E411-D411-1))</f>
        <v>1</v>
      </c>
      <c r="I411">
        <f>VALUE(MID(B411,E411+1,F411-E411-1))</f>
        <v>22</v>
      </c>
      <c r="J411">
        <f>VALUE(MID(B411,F411+1,4))</f>
        <v>30</v>
      </c>
    </row>
    <row r="412" spans="1:10" hidden="1" x14ac:dyDescent="0.25">
      <c r="A412" t="s">
        <v>410</v>
      </c>
      <c r="B412" t="s">
        <v>548</v>
      </c>
      <c r="C412" t="str">
        <f>IF(RIGHT(B412,5)="22,22","VIC20","")</f>
        <v/>
      </c>
      <c r="D412">
        <f>SEARCH(",",B412)</f>
        <v>2</v>
      </c>
      <c r="E412">
        <f>SEARCH(",",B412,D412+1)</f>
        <v>4</v>
      </c>
      <c r="F412">
        <f>SEARCH(",",B412,E412+1)</f>
        <v>7</v>
      </c>
      <c r="G412">
        <f>VALUE(MID(B412,1,D412-1))</f>
        <v>1</v>
      </c>
      <c r="H412">
        <f>VALUE(MID(B412,D412+1,E412-D412-1))</f>
        <v>1</v>
      </c>
      <c r="I412">
        <f>VALUE(MID(B412,E412+1,F412-E412-1))</f>
        <v>22</v>
      </c>
      <c r="J412">
        <f>VALUE(MID(B412,F412+1,4))</f>
        <v>30</v>
      </c>
    </row>
    <row r="413" spans="1:10" hidden="1" x14ac:dyDescent="0.25">
      <c r="A413" t="s">
        <v>411</v>
      </c>
      <c r="B413" t="s">
        <v>592</v>
      </c>
      <c r="C413" t="str">
        <f>IF(RIGHT(B413,5)="22,22","VIC20","")</f>
        <v/>
      </c>
      <c r="D413">
        <f>SEARCH(",",B413)</f>
        <v>2</v>
      </c>
      <c r="E413">
        <f>SEARCH(",",B413,D413+1)</f>
        <v>4</v>
      </c>
      <c r="F413">
        <f>SEARCH(",",B413,E413+1)</f>
        <v>7</v>
      </c>
      <c r="G413">
        <f>VALUE(MID(B413,1,D413-1))</f>
        <v>1</v>
      </c>
      <c r="H413">
        <f>VALUE(MID(B413,D413+1,E413-D413-1))</f>
        <v>1</v>
      </c>
      <c r="I413">
        <f>VALUE(MID(B413,E413+1,F413-E413-1))</f>
        <v>23</v>
      </c>
      <c r="J413">
        <f>VALUE(MID(B413,F413+1,4))</f>
        <v>30</v>
      </c>
    </row>
    <row r="414" spans="1:10" hidden="1" x14ac:dyDescent="0.25">
      <c r="A414" t="s">
        <v>412</v>
      </c>
      <c r="B414" t="s">
        <v>548</v>
      </c>
      <c r="C414" t="str">
        <f>IF(RIGHT(B414,5)="22,22","VIC20","")</f>
        <v/>
      </c>
      <c r="D414">
        <f>SEARCH(",",B414)</f>
        <v>2</v>
      </c>
      <c r="E414">
        <f>SEARCH(",",B414,D414+1)</f>
        <v>4</v>
      </c>
      <c r="F414">
        <f>SEARCH(",",B414,E414+1)</f>
        <v>7</v>
      </c>
      <c r="G414">
        <f>VALUE(MID(B414,1,D414-1))</f>
        <v>1</v>
      </c>
      <c r="H414">
        <f>VALUE(MID(B414,D414+1,E414-D414-1))</f>
        <v>1</v>
      </c>
      <c r="I414">
        <f>VALUE(MID(B414,E414+1,F414-E414-1))</f>
        <v>22</v>
      </c>
      <c r="J414">
        <f>VALUE(MID(B414,F414+1,4))</f>
        <v>30</v>
      </c>
    </row>
    <row r="415" spans="1:10" hidden="1" x14ac:dyDescent="0.25">
      <c r="A415" t="s">
        <v>413</v>
      </c>
      <c r="B415" t="s">
        <v>548</v>
      </c>
      <c r="C415" t="str">
        <f>IF(RIGHT(B415,5)="22,22","VIC20","")</f>
        <v/>
      </c>
      <c r="D415">
        <f>SEARCH(",",B415)</f>
        <v>2</v>
      </c>
      <c r="E415">
        <f>SEARCH(",",B415,D415+1)</f>
        <v>4</v>
      </c>
      <c r="F415">
        <f>SEARCH(",",B415,E415+1)</f>
        <v>7</v>
      </c>
      <c r="G415">
        <f>VALUE(MID(B415,1,D415-1))</f>
        <v>1</v>
      </c>
      <c r="H415">
        <f>VALUE(MID(B415,D415+1,E415-D415-1))</f>
        <v>1</v>
      </c>
      <c r="I415">
        <f>VALUE(MID(B415,E415+1,F415-E415-1))</f>
        <v>22</v>
      </c>
      <c r="J415">
        <f>VALUE(MID(B415,F415+1,4))</f>
        <v>30</v>
      </c>
    </row>
    <row r="416" spans="1:10" hidden="1" x14ac:dyDescent="0.25">
      <c r="A416" t="s">
        <v>414</v>
      </c>
      <c r="B416" t="s">
        <v>548</v>
      </c>
      <c r="C416" t="str">
        <f>IF(RIGHT(B416,5)="22,22","VIC20","")</f>
        <v/>
      </c>
      <c r="D416">
        <f>SEARCH(",",B416)</f>
        <v>2</v>
      </c>
      <c r="E416">
        <f>SEARCH(",",B416,D416+1)</f>
        <v>4</v>
      </c>
      <c r="F416">
        <f>SEARCH(",",B416,E416+1)</f>
        <v>7</v>
      </c>
      <c r="G416">
        <f>VALUE(MID(B416,1,D416-1))</f>
        <v>1</v>
      </c>
      <c r="H416">
        <f>VALUE(MID(B416,D416+1,E416-D416-1))</f>
        <v>1</v>
      </c>
      <c r="I416">
        <f>VALUE(MID(B416,E416+1,F416-E416-1))</f>
        <v>22</v>
      </c>
      <c r="J416">
        <f>VALUE(MID(B416,F416+1,4))</f>
        <v>30</v>
      </c>
    </row>
    <row r="417" spans="1:10" hidden="1" x14ac:dyDescent="0.25">
      <c r="A417" t="s">
        <v>415</v>
      </c>
      <c r="B417" t="s">
        <v>653</v>
      </c>
      <c r="C417" t="str">
        <f>IF(RIGHT(B417,5)="22,22","VIC20","")</f>
        <v/>
      </c>
      <c r="D417">
        <f>SEARCH(",",B417)</f>
        <v>2</v>
      </c>
      <c r="E417">
        <f>SEARCH(",",B417,D417+1)</f>
        <v>4</v>
      </c>
      <c r="F417">
        <f>SEARCH(",",B417,E417+1)</f>
        <v>7</v>
      </c>
      <c r="G417">
        <f>VALUE(MID(B417,1,D417-1))</f>
        <v>0</v>
      </c>
      <c r="H417">
        <f>VALUE(MID(B417,D417+1,E417-D417-1))</f>
        <v>0</v>
      </c>
      <c r="I417">
        <f>VALUE(MID(B417,E417+1,F417-E417-1))</f>
        <v>22</v>
      </c>
      <c r="J417">
        <f>VALUE(MID(B417,F417+1,4))</f>
        <v>30</v>
      </c>
    </row>
    <row r="418" spans="1:10" hidden="1" x14ac:dyDescent="0.25">
      <c r="A418" t="s">
        <v>416</v>
      </c>
      <c r="B418" t="s">
        <v>594</v>
      </c>
      <c r="C418" t="str">
        <f>IF(RIGHT(B418,5)="22,22","VIC20","")</f>
        <v/>
      </c>
      <c r="D418">
        <f>SEARCH(",",B418)</f>
        <v>2</v>
      </c>
      <c r="E418">
        <f>SEARCH(",",B418,D418+1)</f>
        <v>4</v>
      </c>
      <c r="F418">
        <f>SEARCH(",",B418,E418+1)</f>
        <v>7</v>
      </c>
      <c r="G418">
        <f>VALUE(MID(B418,1,D418-1))</f>
        <v>1</v>
      </c>
      <c r="H418">
        <f>VALUE(MID(B418,D418+1,E418-D418-1))</f>
        <v>1</v>
      </c>
      <c r="I418">
        <f>VALUE(MID(B418,E418+1,F418-E418-1))</f>
        <v>21</v>
      </c>
      <c r="J418">
        <f>VALUE(MID(B418,F418+1,4))</f>
        <v>30</v>
      </c>
    </row>
    <row r="419" spans="1:10" hidden="1" x14ac:dyDescent="0.25">
      <c r="A419" t="s">
        <v>417</v>
      </c>
      <c r="B419" t="s">
        <v>551</v>
      </c>
      <c r="C419" t="str">
        <f>IF(RIGHT(B419,5)="22,22","VIC20","")</f>
        <v/>
      </c>
      <c r="D419">
        <f>SEARCH(",",B419)</f>
        <v>2</v>
      </c>
      <c r="E419">
        <f>SEARCH(",",B419,D419+1)</f>
        <v>4</v>
      </c>
      <c r="F419">
        <f>SEARCH(",",B419,E419+1)</f>
        <v>7</v>
      </c>
      <c r="G419">
        <f>VALUE(MID(B419,1,D419-1))</f>
        <v>1</v>
      </c>
      <c r="H419">
        <f>VALUE(MID(B419,D419+1,E419-D419-1))</f>
        <v>0</v>
      </c>
      <c r="I419">
        <f>VALUE(MID(B419,E419+1,F419-E419-1))</f>
        <v>22</v>
      </c>
      <c r="J419">
        <f>VALUE(MID(B419,F419+1,4))</f>
        <v>32</v>
      </c>
    </row>
    <row r="420" spans="1:10" hidden="1" x14ac:dyDescent="0.25">
      <c r="A420" t="s">
        <v>418</v>
      </c>
      <c r="B420" t="s">
        <v>548</v>
      </c>
      <c r="C420" t="str">
        <f>IF(RIGHT(B420,5)="22,22","VIC20","")</f>
        <v/>
      </c>
      <c r="D420">
        <f>SEARCH(",",B420)</f>
        <v>2</v>
      </c>
      <c r="E420">
        <f>SEARCH(",",B420,D420+1)</f>
        <v>4</v>
      </c>
      <c r="F420">
        <f>SEARCH(",",B420,E420+1)</f>
        <v>7</v>
      </c>
      <c r="G420">
        <f>VALUE(MID(B420,1,D420-1))</f>
        <v>1</v>
      </c>
      <c r="H420">
        <f>VALUE(MID(B420,D420+1,E420-D420-1))</f>
        <v>1</v>
      </c>
      <c r="I420">
        <f>VALUE(MID(B420,E420+1,F420-E420-1))</f>
        <v>22</v>
      </c>
      <c r="J420">
        <f>VALUE(MID(B420,F420+1,4))</f>
        <v>30</v>
      </c>
    </row>
    <row r="421" spans="1:10" hidden="1" x14ac:dyDescent="0.25">
      <c r="A421" t="s">
        <v>419</v>
      </c>
      <c r="B421" t="s">
        <v>548</v>
      </c>
      <c r="C421" t="str">
        <f>IF(RIGHT(B421,5)="22,22","VIC20","")</f>
        <v/>
      </c>
      <c r="D421">
        <f>SEARCH(",",B421)</f>
        <v>2</v>
      </c>
      <c r="E421">
        <f>SEARCH(",",B421,D421+1)</f>
        <v>4</v>
      </c>
      <c r="F421">
        <f>SEARCH(",",B421,E421+1)</f>
        <v>7</v>
      </c>
      <c r="G421">
        <f>VALUE(MID(B421,1,D421-1))</f>
        <v>1</v>
      </c>
      <c r="H421">
        <f>VALUE(MID(B421,D421+1,E421-D421-1))</f>
        <v>1</v>
      </c>
      <c r="I421">
        <f>VALUE(MID(B421,E421+1,F421-E421-1))</f>
        <v>22</v>
      </c>
      <c r="J421">
        <f>VALUE(MID(B421,F421+1,4))</f>
        <v>30</v>
      </c>
    </row>
    <row r="422" spans="1:10" hidden="1" x14ac:dyDescent="0.25">
      <c r="A422" t="s">
        <v>420</v>
      </c>
      <c r="B422" t="s">
        <v>553</v>
      </c>
      <c r="C422" t="str">
        <f>IF(RIGHT(B422,5)="22,22","VIC20","")</f>
        <v/>
      </c>
      <c r="D422">
        <f>SEARCH(",",B422)</f>
        <v>2</v>
      </c>
      <c r="E422">
        <f>SEARCH(",",B422,D422+1)</f>
        <v>4</v>
      </c>
      <c r="F422">
        <f>SEARCH(",",B422,E422+1)</f>
        <v>7</v>
      </c>
      <c r="G422">
        <f>VALUE(MID(B422,1,D422-1))</f>
        <v>1</v>
      </c>
      <c r="H422">
        <f>VALUE(MID(B422,D422+1,E422-D422-1))</f>
        <v>1</v>
      </c>
      <c r="I422">
        <f>VALUE(MID(B422,E422+1,F422-E422-1))</f>
        <v>19</v>
      </c>
      <c r="J422">
        <f>VALUE(MID(B422,F422+1,4))</f>
        <v>30</v>
      </c>
    </row>
    <row r="423" spans="1:10" x14ac:dyDescent="0.25">
      <c r="A423" t="s">
        <v>342</v>
      </c>
      <c r="B423" t="s">
        <v>552</v>
      </c>
      <c r="C423" t="s">
        <v>544</v>
      </c>
      <c r="D423">
        <f>SEARCH(",",B423)</f>
        <v>2</v>
      </c>
      <c r="E423">
        <f>SEARCH(",",B423,D423+1)</f>
        <v>4</v>
      </c>
      <c r="F423">
        <f>SEARCH(",",B423,E423+1)</f>
        <v>7</v>
      </c>
      <c r="G423">
        <f>VALUE(MID(B423,1,D423-1))</f>
        <v>1</v>
      </c>
      <c r="H423">
        <f>VALUE(MID(B423,D423+1,E423-D423-1))</f>
        <v>1</v>
      </c>
      <c r="I423">
        <f>VALUE(MID(B423,E423+1,F423-E423-1))</f>
        <v>22</v>
      </c>
      <c r="J423">
        <f>VALUE(MID(B423,F423+1,4))</f>
        <v>22</v>
      </c>
    </row>
    <row r="424" spans="1:10" hidden="1" x14ac:dyDescent="0.25">
      <c r="A424" t="s">
        <v>422</v>
      </c>
      <c r="B424" t="s">
        <v>631</v>
      </c>
      <c r="C424" t="str">
        <f>IF(RIGHT(B424,5)="22,22","VIC20","")</f>
        <v/>
      </c>
      <c r="D424">
        <f>SEARCH(",",B424)</f>
        <v>2</v>
      </c>
      <c r="E424">
        <f>SEARCH(",",B424,D424+1)</f>
        <v>4</v>
      </c>
      <c r="F424">
        <f>SEARCH(",",B424,E424+1)</f>
        <v>7</v>
      </c>
      <c r="G424">
        <f>VALUE(MID(B424,1,D424-1))</f>
        <v>0</v>
      </c>
      <c r="H424">
        <f>VALUE(MID(B424,D424+1,E424-D424-1))</f>
        <v>0</v>
      </c>
      <c r="I424">
        <f>VALUE(MID(B424,E424+1,F424-E424-1))</f>
        <v>23</v>
      </c>
      <c r="J424">
        <f>VALUE(MID(B424,F424+1,4))</f>
        <v>24</v>
      </c>
    </row>
    <row r="425" spans="1:10" hidden="1" x14ac:dyDescent="0.25">
      <c r="A425" t="s">
        <v>423</v>
      </c>
      <c r="B425" t="s">
        <v>547</v>
      </c>
      <c r="C425" t="str">
        <f>IF(RIGHT(B425,5)="22,22","VIC20","")</f>
        <v/>
      </c>
      <c r="D425">
        <f>SEARCH(",",B425)</f>
        <v>2</v>
      </c>
      <c r="E425">
        <f>SEARCH(",",B425,D425+1)</f>
        <v>4</v>
      </c>
      <c r="F425">
        <f>SEARCH(",",B425,E425+1)</f>
        <v>7</v>
      </c>
      <c r="G425">
        <f>VALUE(MID(B425,1,D425-1))</f>
        <v>1</v>
      </c>
      <c r="H425">
        <f>VALUE(MID(B425,D425+1,E425-D425-1))</f>
        <v>1</v>
      </c>
      <c r="I425">
        <f>VALUE(MID(B425,E425+1,F425-E425-1))</f>
        <v>18</v>
      </c>
      <c r="J425">
        <f>VALUE(MID(B425,F425+1,4))</f>
        <v>30</v>
      </c>
    </row>
    <row r="426" spans="1:10" hidden="1" x14ac:dyDescent="0.25">
      <c r="A426" t="s">
        <v>424</v>
      </c>
      <c r="B426" t="s">
        <v>589</v>
      </c>
      <c r="C426" t="str">
        <f>IF(RIGHT(B426,5)="22,22","VIC20","")</f>
        <v/>
      </c>
      <c r="D426">
        <f>SEARCH(",",B426)</f>
        <v>2</v>
      </c>
      <c r="E426">
        <f>SEARCH(",",B426,D426+1)</f>
        <v>4</v>
      </c>
      <c r="F426">
        <f>SEARCH(",",B426,E426+1)</f>
        <v>7</v>
      </c>
      <c r="G426">
        <f>VALUE(MID(B426,1,D426-1))</f>
        <v>1</v>
      </c>
      <c r="H426">
        <f>VALUE(MID(B426,D426+1,E426-D426-1))</f>
        <v>1</v>
      </c>
      <c r="I426">
        <f>VALUE(MID(B426,E426+1,F426-E426-1))</f>
        <v>22</v>
      </c>
      <c r="J426">
        <f>VALUE(MID(B426,F426+1,4))</f>
        <v>24</v>
      </c>
    </row>
    <row r="427" spans="1:10" hidden="1" x14ac:dyDescent="0.25">
      <c r="A427" t="s">
        <v>425</v>
      </c>
      <c r="B427" t="s">
        <v>654</v>
      </c>
      <c r="C427" t="str">
        <f>IF(RIGHT(B427,5)="22,22","VIC20","")</f>
        <v/>
      </c>
      <c r="D427">
        <f>SEARCH(",",B427)</f>
        <v>2</v>
      </c>
      <c r="E427">
        <f>SEARCH(",",B427,D427+1)</f>
        <v>4</v>
      </c>
      <c r="F427">
        <f>SEARCH(",",B427,E427+1)</f>
        <v>7</v>
      </c>
      <c r="G427">
        <f>VALUE(MID(B427,1,D427-1))</f>
        <v>1</v>
      </c>
      <c r="H427">
        <f>VALUE(MID(B427,D427+1,E427-D427-1))</f>
        <v>2</v>
      </c>
      <c r="I427">
        <f>VALUE(MID(B427,E427+1,F427-E427-1))</f>
        <v>20</v>
      </c>
      <c r="J427">
        <f>VALUE(MID(B427,F427+1,4))</f>
        <v>28</v>
      </c>
    </row>
    <row r="428" spans="1:10" hidden="1" x14ac:dyDescent="0.25">
      <c r="A428" t="s">
        <v>426</v>
      </c>
      <c r="B428" t="s">
        <v>649</v>
      </c>
      <c r="C428" t="str">
        <f>IF(RIGHT(B428,5)="22,22","VIC20","")</f>
        <v/>
      </c>
      <c r="D428">
        <f>SEARCH(",",B428)</f>
        <v>2</v>
      </c>
      <c r="E428">
        <f>SEARCH(",",B428,D428+1)</f>
        <v>4</v>
      </c>
      <c r="F428">
        <f>SEARCH(",",B428,E428+1)</f>
        <v>7</v>
      </c>
      <c r="G428">
        <f>VALUE(MID(B428,1,D428-1))</f>
        <v>0</v>
      </c>
      <c r="H428">
        <f>VALUE(MID(B428,D428+1,E428-D428-1))</f>
        <v>0</v>
      </c>
      <c r="I428">
        <f>VALUE(MID(B428,E428+1,F428-E428-1))</f>
        <v>23</v>
      </c>
      <c r="J428">
        <f>VALUE(MID(B428,F428+1,4))</f>
        <v>26</v>
      </c>
    </row>
    <row r="429" spans="1:10" hidden="1" x14ac:dyDescent="0.25">
      <c r="A429" t="s">
        <v>427</v>
      </c>
      <c r="B429" t="s">
        <v>558</v>
      </c>
      <c r="C429" t="str">
        <f>IF(RIGHT(B429,5)="22,22","VIC20","")</f>
        <v/>
      </c>
      <c r="D429">
        <f>SEARCH(",",B429)</f>
        <v>2</v>
      </c>
      <c r="E429">
        <f>SEARCH(",",B429,D429+1)</f>
        <v>4</v>
      </c>
      <c r="F429">
        <f>SEARCH(",",B429,E429+1)</f>
        <v>7</v>
      </c>
      <c r="G429">
        <f>VALUE(MID(B429,1,D429-1))</f>
        <v>0</v>
      </c>
      <c r="H429">
        <f>VALUE(MID(B429,D429+1,E429-D429-1))</f>
        <v>0</v>
      </c>
      <c r="I429">
        <f>VALUE(MID(B429,E429+1,F429-E429-1))</f>
        <v>23</v>
      </c>
      <c r="J429">
        <f>VALUE(MID(B429,F429+1,4))</f>
        <v>32</v>
      </c>
    </row>
    <row r="430" spans="1:10" hidden="1" x14ac:dyDescent="0.25">
      <c r="A430" t="s">
        <v>428</v>
      </c>
      <c r="B430" t="s">
        <v>554</v>
      </c>
      <c r="C430" t="str">
        <f>IF(RIGHT(B430,5)="22,22","VIC20","")</f>
        <v/>
      </c>
      <c r="D430">
        <f>SEARCH(",",B430)</f>
        <v>2</v>
      </c>
      <c r="E430">
        <f>SEARCH(",",B430,D430+1)</f>
        <v>4</v>
      </c>
      <c r="F430">
        <f>SEARCH(",",B430,E430+1)</f>
        <v>7</v>
      </c>
      <c r="G430">
        <f>VALUE(MID(B430,1,D430-1))</f>
        <v>1</v>
      </c>
      <c r="H430">
        <f>VALUE(MID(B430,D430+1,E430-D430-1))</f>
        <v>1</v>
      </c>
      <c r="I430">
        <f>VALUE(MID(B430,E430+1,F430-E430-1))</f>
        <v>20</v>
      </c>
      <c r="J430">
        <f>VALUE(MID(B430,F430+1,4))</f>
        <v>30</v>
      </c>
    </row>
    <row r="431" spans="1:10" hidden="1" x14ac:dyDescent="0.25">
      <c r="A431" t="s">
        <v>429</v>
      </c>
      <c r="B431" t="s">
        <v>629</v>
      </c>
      <c r="C431" t="str">
        <f>IF(RIGHT(B431,5)="22,22","VIC20","")</f>
        <v/>
      </c>
      <c r="D431">
        <f>SEARCH(",",B431)</f>
        <v>2</v>
      </c>
      <c r="E431">
        <f>SEARCH(",",B431,D431+1)</f>
        <v>4</v>
      </c>
      <c r="F431">
        <f>SEARCH(",",B431,E431+1)</f>
        <v>7</v>
      </c>
      <c r="G431">
        <f>VALUE(MID(B431,1,D431-1))</f>
        <v>2</v>
      </c>
      <c r="H431">
        <f>VALUE(MID(B431,D431+1,E431-D431-1))</f>
        <v>2</v>
      </c>
      <c r="I431">
        <f>VALUE(MID(B431,E431+1,F431-E431-1))</f>
        <v>16</v>
      </c>
      <c r="J431">
        <f>VALUE(MID(B431,F431+1,4))</f>
        <v>28</v>
      </c>
    </row>
    <row r="432" spans="1:10" hidden="1" x14ac:dyDescent="0.25">
      <c r="A432" t="s">
        <v>430</v>
      </c>
      <c r="B432" t="s">
        <v>581</v>
      </c>
      <c r="C432" t="str">
        <f>IF(RIGHT(B432,5)="22,22","VIC20","")</f>
        <v/>
      </c>
      <c r="D432">
        <f>SEARCH(",",B432)</f>
        <v>2</v>
      </c>
      <c r="E432">
        <f>SEARCH(",",B432,D432+1)</f>
        <v>4</v>
      </c>
      <c r="F432">
        <f>SEARCH(",",B432,E432+1)</f>
        <v>7</v>
      </c>
      <c r="G432">
        <f>VALUE(MID(B432,1,D432-1))</f>
        <v>0</v>
      </c>
      <c r="H432">
        <f>VALUE(MID(B432,D432+1,E432-D432-1))</f>
        <v>0</v>
      </c>
      <c r="I432">
        <f>VALUE(MID(B432,E432+1,F432-E432-1))</f>
        <v>21</v>
      </c>
      <c r="J432">
        <f>VALUE(MID(B432,F432+1,4))</f>
        <v>32</v>
      </c>
    </row>
    <row r="433" spans="1:10" hidden="1" x14ac:dyDescent="0.25">
      <c r="A433" t="s">
        <v>431</v>
      </c>
      <c r="B433" t="s">
        <v>649</v>
      </c>
      <c r="C433" t="str">
        <f>IF(RIGHT(B433,5)="22,22","VIC20","")</f>
        <v/>
      </c>
      <c r="D433">
        <f>SEARCH(",",B433)</f>
        <v>2</v>
      </c>
      <c r="E433">
        <f>SEARCH(",",B433,D433+1)</f>
        <v>4</v>
      </c>
      <c r="F433">
        <f>SEARCH(",",B433,E433+1)</f>
        <v>7</v>
      </c>
      <c r="G433">
        <f>VALUE(MID(B433,1,D433-1))</f>
        <v>0</v>
      </c>
      <c r="H433">
        <f>VALUE(MID(B433,D433+1,E433-D433-1))</f>
        <v>0</v>
      </c>
      <c r="I433">
        <f>VALUE(MID(B433,E433+1,F433-E433-1))</f>
        <v>23</v>
      </c>
      <c r="J433">
        <f>VALUE(MID(B433,F433+1,4))</f>
        <v>26</v>
      </c>
    </row>
    <row r="434" spans="1:10" x14ac:dyDescent="0.25">
      <c r="A434" t="s">
        <v>350</v>
      </c>
      <c r="B434" t="s">
        <v>552</v>
      </c>
      <c r="C434" t="s">
        <v>544</v>
      </c>
      <c r="D434">
        <f>SEARCH(",",B434)</f>
        <v>2</v>
      </c>
      <c r="E434">
        <f>SEARCH(",",B434,D434+1)</f>
        <v>4</v>
      </c>
      <c r="F434">
        <f>SEARCH(",",B434,E434+1)</f>
        <v>7</v>
      </c>
      <c r="G434">
        <f>VALUE(MID(B434,1,D434-1))</f>
        <v>1</v>
      </c>
      <c r="H434">
        <f>VALUE(MID(B434,D434+1,E434-D434-1))</f>
        <v>1</v>
      </c>
      <c r="I434">
        <f>VALUE(MID(B434,E434+1,F434-E434-1))</f>
        <v>22</v>
      </c>
      <c r="J434">
        <f>VALUE(MID(B434,F434+1,4))</f>
        <v>22</v>
      </c>
    </row>
    <row r="435" spans="1:10" hidden="1" x14ac:dyDescent="0.25">
      <c r="A435" t="s">
        <v>433</v>
      </c>
      <c r="B435" t="s">
        <v>653</v>
      </c>
      <c r="C435" t="str">
        <f>IF(RIGHT(B435,5)="22,22","VIC20","")</f>
        <v/>
      </c>
      <c r="D435">
        <f>SEARCH(",",B435)</f>
        <v>2</v>
      </c>
      <c r="E435">
        <f>SEARCH(",",B435,D435+1)</f>
        <v>4</v>
      </c>
      <c r="F435">
        <f>SEARCH(",",B435,E435+1)</f>
        <v>7</v>
      </c>
      <c r="G435">
        <f>VALUE(MID(B435,1,D435-1))</f>
        <v>0</v>
      </c>
      <c r="H435">
        <f>VALUE(MID(B435,D435+1,E435-D435-1))</f>
        <v>0</v>
      </c>
      <c r="I435">
        <f>VALUE(MID(B435,E435+1,F435-E435-1))</f>
        <v>22</v>
      </c>
      <c r="J435">
        <f>VALUE(MID(B435,F435+1,4))</f>
        <v>30</v>
      </c>
    </row>
    <row r="436" spans="1:10" hidden="1" x14ac:dyDescent="0.25">
      <c r="A436" t="s">
        <v>434</v>
      </c>
      <c r="B436" t="s">
        <v>547</v>
      </c>
      <c r="C436" t="str">
        <f>IF(RIGHT(B436,5)="22,22","VIC20","")</f>
        <v/>
      </c>
      <c r="D436">
        <f>SEARCH(",",B436)</f>
        <v>2</v>
      </c>
      <c r="E436">
        <f>SEARCH(",",B436,D436+1)</f>
        <v>4</v>
      </c>
      <c r="F436">
        <f>SEARCH(",",B436,E436+1)</f>
        <v>7</v>
      </c>
      <c r="G436">
        <f>VALUE(MID(B436,1,D436-1))</f>
        <v>1</v>
      </c>
      <c r="H436">
        <f>VALUE(MID(B436,D436+1,E436-D436-1))</f>
        <v>1</v>
      </c>
      <c r="I436">
        <f>VALUE(MID(B436,E436+1,F436-E436-1))</f>
        <v>18</v>
      </c>
      <c r="J436">
        <f>VALUE(MID(B436,F436+1,4))</f>
        <v>30</v>
      </c>
    </row>
    <row r="437" spans="1:10" hidden="1" x14ac:dyDescent="0.25">
      <c r="A437" t="s">
        <v>435</v>
      </c>
      <c r="B437" t="s">
        <v>551</v>
      </c>
      <c r="C437" t="str">
        <f>IF(RIGHT(B437,5)="22,22","VIC20","")</f>
        <v/>
      </c>
      <c r="D437">
        <f>SEARCH(",",B437)</f>
        <v>2</v>
      </c>
      <c r="E437">
        <f>SEARCH(",",B437,D437+1)</f>
        <v>4</v>
      </c>
      <c r="F437">
        <f>SEARCH(",",B437,E437+1)</f>
        <v>7</v>
      </c>
      <c r="G437">
        <f>VALUE(MID(B437,1,D437-1))</f>
        <v>1</v>
      </c>
      <c r="H437">
        <f>VALUE(MID(B437,D437+1,E437-D437-1))</f>
        <v>0</v>
      </c>
      <c r="I437">
        <f>VALUE(MID(B437,E437+1,F437-E437-1))</f>
        <v>22</v>
      </c>
      <c r="J437">
        <f>VALUE(MID(B437,F437+1,4))</f>
        <v>32</v>
      </c>
    </row>
    <row r="438" spans="1:10" hidden="1" x14ac:dyDescent="0.25">
      <c r="A438" t="s">
        <v>436</v>
      </c>
      <c r="B438" t="s">
        <v>568</v>
      </c>
      <c r="C438" t="str">
        <f>IF(RIGHT(B438,5)="22,22","VIC20","")</f>
        <v/>
      </c>
      <c r="D438">
        <f>SEARCH(",",B438)</f>
        <v>2</v>
      </c>
      <c r="E438">
        <f>SEARCH(",",B438,D438+1)</f>
        <v>4</v>
      </c>
      <c r="F438">
        <f>SEARCH(",",B438,E438+1)</f>
        <v>7</v>
      </c>
      <c r="G438">
        <f>VALUE(MID(B438,1,D438-1))</f>
        <v>1</v>
      </c>
      <c r="H438">
        <f>VALUE(MID(B438,D438+1,E438-D438-1))</f>
        <v>1</v>
      </c>
      <c r="I438">
        <f>VALUE(MID(B438,E438+1,F438-E438-1))</f>
        <v>21</v>
      </c>
      <c r="J438">
        <f>VALUE(MID(B438,F438+1,4))</f>
        <v>25</v>
      </c>
    </row>
    <row r="439" spans="1:10" hidden="1" x14ac:dyDescent="0.25">
      <c r="A439" t="s">
        <v>437</v>
      </c>
      <c r="B439" t="s">
        <v>546</v>
      </c>
      <c r="C439" t="str">
        <f>IF(RIGHT(B439,5)="22,22","VIC20","")</f>
        <v/>
      </c>
      <c r="D439">
        <f>SEARCH(",",B439)</f>
        <v>2</v>
      </c>
      <c r="E439">
        <f>SEARCH(",",B439,D439+1)</f>
        <v>4</v>
      </c>
      <c r="F439">
        <f>SEARCH(",",B439,E439+1)</f>
        <v>7</v>
      </c>
      <c r="G439">
        <f>VALUE(MID(B439,1,D439-1))</f>
        <v>1</v>
      </c>
      <c r="H439">
        <f>VALUE(MID(B439,D439+1,E439-D439-1))</f>
        <v>0</v>
      </c>
      <c r="I439">
        <f>VALUE(MID(B439,E439+1,F439-E439-1))</f>
        <v>23</v>
      </c>
      <c r="J439">
        <f>VALUE(MID(B439,F439+1,4))</f>
        <v>32</v>
      </c>
    </row>
    <row r="440" spans="1:10" x14ac:dyDescent="0.25">
      <c r="A440" t="s">
        <v>351</v>
      </c>
      <c r="B440" t="s">
        <v>552</v>
      </c>
      <c r="C440" t="s">
        <v>544</v>
      </c>
      <c r="D440">
        <f>SEARCH(",",B440)</f>
        <v>2</v>
      </c>
      <c r="E440">
        <f>SEARCH(",",B440,D440+1)</f>
        <v>4</v>
      </c>
      <c r="F440">
        <f>SEARCH(",",B440,E440+1)</f>
        <v>7</v>
      </c>
      <c r="G440">
        <f>VALUE(MID(B440,1,D440-1))</f>
        <v>1</v>
      </c>
      <c r="H440">
        <f>VALUE(MID(B440,D440+1,E440-D440-1))</f>
        <v>1</v>
      </c>
      <c r="I440">
        <f>VALUE(MID(B440,E440+1,F440-E440-1))</f>
        <v>22</v>
      </c>
      <c r="J440">
        <f>VALUE(MID(B440,F440+1,4))</f>
        <v>22</v>
      </c>
    </row>
    <row r="441" spans="1:10" hidden="1" x14ac:dyDescent="0.25">
      <c r="A441" t="s">
        <v>439</v>
      </c>
      <c r="B441" t="s">
        <v>547</v>
      </c>
      <c r="C441" t="str">
        <f>IF(RIGHT(B441,5)="22,22","VIC20","")</f>
        <v/>
      </c>
      <c r="D441">
        <f>SEARCH(",",B441)</f>
        <v>2</v>
      </c>
      <c r="E441">
        <f>SEARCH(",",B441,D441+1)</f>
        <v>4</v>
      </c>
      <c r="F441">
        <f>SEARCH(",",B441,E441+1)</f>
        <v>7</v>
      </c>
      <c r="G441">
        <f>VALUE(MID(B441,1,D441-1))</f>
        <v>1</v>
      </c>
      <c r="H441">
        <f>VALUE(MID(B441,D441+1,E441-D441-1))</f>
        <v>1</v>
      </c>
      <c r="I441">
        <f>VALUE(MID(B441,E441+1,F441-E441-1))</f>
        <v>18</v>
      </c>
      <c r="J441">
        <f>VALUE(MID(B441,F441+1,4))</f>
        <v>30</v>
      </c>
    </row>
    <row r="442" spans="1:10" hidden="1" x14ac:dyDescent="0.25">
      <c r="A442" t="s">
        <v>440</v>
      </c>
      <c r="B442" t="s">
        <v>656</v>
      </c>
      <c r="C442" t="str">
        <f>IF(RIGHT(B442,5)="22,22","VIC20","")</f>
        <v/>
      </c>
      <c r="D442">
        <f>SEARCH(",",B442)</f>
        <v>2</v>
      </c>
      <c r="E442">
        <f>SEARCH(",",B442,D442+1)</f>
        <v>4</v>
      </c>
      <c r="F442">
        <f>SEARCH(",",B442,E442+1)</f>
        <v>7</v>
      </c>
      <c r="G442">
        <f>VALUE(MID(B442,1,D442-1))</f>
        <v>2</v>
      </c>
      <c r="H442">
        <f>VALUE(MID(B442,D442+1,E442-D442-1))</f>
        <v>2</v>
      </c>
      <c r="I442">
        <f>VALUE(MID(B442,E442+1,F442-E442-1))</f>
        <v>18</v>
      </c>
      <c r="J442">
        <f>VALUE(MID(B442,F442+1,4))</f>
        <v>28</v>
      </c>
    </row>
    <row r="443" spans="1:10" hidden="1" x14ac:dyDescent="0.25">
      <c r="A443" t="s">
        <v>441</v>
      </c>
      <c r="B443" t="s">
        <v>656</v>
      </c>
      <c r="C443" t="str">
        <f>IF(RIGHT(B443,5)="22,22","VIC20","")</f>
        <v/>
      </c>
      <c r="D443">
        <f>SEARCH(",",B443)</f>
        <v>2</v>
      </c>
      <c r="E443">
        <f>SEARCH(",",B443,D443+1)</f>
        <v>4</v>
      </c>
      <c r="F443">
        <f>SEARCH(",",B443,E443+1)</f>
        <v>7</v>
      </c>
      <c r="G443">
        <f>VALUE(MID(B443,1,D443-1))</f>
        <v>2</v>
      </c>
      <c r="H443">
        <f>VALUE(MID(B443,D443+1,E443-D443-1))</f>
        <v>2</v>
      </c>
      <c r="I443">
        <f>VALUE(MID(B443,E443+1,F443-E443-1))</f>
        <v>18</v>
      </c>
      <c r="J443">
        <f>VALUE(MID(B443,F443+1,4))</f>
        <v>28</v>
      </c>
    </row>
    <row r="444" spans="1:10" hidden="1" x14ac:dyDescent="0.25">
      <c r="A444" t="s">
        <v>442</v>
      </c>
      <c r="B444" t="s">
        <v>560</v>
      </c>
      <c r="C444" t="str">
        <f>IF(RIGHT(B444,5)="22,22","VIC20","")</f>
        <v/>
      </c>
      <c r="D444">
        <f>SEARCH(",",B444)</f>
        <v>2</v>
      </c>
      <c r="E444">
        <f>SEARCH(",",B444,D444+1)</f>
        <v>4</v>
      </c>
      <c r="F444">
        <f>SEARCH(",",B444,E444+1)</f>
        <v>7</v>
      </c>
      <c r="G444">
        <f>VALUE(MID(B444,1,D444-1))</f>
        <v>2</v>
      </c>
      <c r="H444">
        <f>VALUE(MID(B444,D444+1,E444-D444-1))</f>
        <v>1</v>
      </c>
      <c r="I444">
        <f>VALUE(MID(B444,E444+1,F444-E444-1))</f>
        <v>18</v>
      </c>
      <c r="J444">
        <f>VALUE(MID(B444,F444+1,4))</f>
        <v>30</v>
      </c>
    </row>
    <row r="445" spans="1:10" hidden="1" x14ac:dyDescent="0.25">
      <c r="A445" t="s">
        <v>443</v>
      </c>
      <c r="B445" t="s">
        <v>554</v>
      </c>
      <c r="C445" t="str">
        <f>IF(RIGHT(B445,5)="22,22","VIC20","")</f>
        <v/>
      </c>
      <c r="D445">
        <f>SEARCH(",",B445)</f>
        <v>2</v>
      </c>
      <c r="E445">
        <f>SEARCH(",",B445,D445+1)</f>
        <v>4</v>
      </c>
      <c r="F445">
        <f>SEARCH(",",B445,E445+1)</f>
        <v>7</v>
      </c>
      <c r="G445">
        <f>VALUE(MID(B445,1,D445-1))</f>
        <v>1</v>
      </c>
      <c r="H445">
        <f>VALUE(MID(B445,D445+1,E445-D445-1))</f>
        <v>1</v>
      </c>
      <c r="I445">
        <f>VALUE(MID(B445,E445+1,F445-E445-1))</f>
        <v>20</v>
      </c>
      <c r="J445">
        <f>VALUE(MID(B445,F445+1,4))</f>
        <v>30</v>
      </c>
    </row>
    <row r="446" spans="1:10" hidden="1" x14ac:dyDescent="0.25">
      <c r="A446" t="s">
        <v>444</v>
      </c>
      <c r="B446" t="s">
        <v>594</v>
      </c>
      <c r="C446" t="str">
        <f>IF(RIGHT(B446,5)="22,22","VIC20","")</f>
        <v/>
      </c>
      <c r="D446">
        <f>SEARCH(",",B446)</f>
        <v>2</v>
      </c>
      <c r="E446">
        <f>SEARCH(",",B446,D446+1)</f>
        <v>4</v>
      </c>
      <c r="F446">
        <f>SEARCH(",",B446,E446+1)</f>
        <v>7</v>
      </c>
      <c r="G446">
        <f>VALUE(MID(B446,1,D446-1))</f>
        <v>1</v>
      </c>
      <c r="H446">
        <f>VALUE(MID(B446,D446+1,E446-D446-1))</f>
        <v>1</v>
      </c>
      <c r="I446">
        <f>VALUE(MID(B446,E446+1,F446-E446-1))</f>
        <v>21</v>
      </c>
      <c r="J446">
        <f>VALUE(MID(B446,F446+1,4))</f>
        <v>30</v>
      </c>
    </row>
    <row r="447" spans="1:10" x14ac:dyDescent="0.25">
      <c r="A447" t="s">
        <v>257</v>
      </c>
      <c r="B447" t="s">
        <v>626</v>
      </c>
      <c r="C447" t="s">
        <v>544</v>
      </c>
      <c r="D447">
        <f>SEARCH(",",B447)</f>
        <v>2</v>
      </c>
      <c r="E447">
        <f>SEARCH(",",B447,D447+1)</f>
        <v>4</v>
      </c>
      <c r="F447">
        <f>SEARCH(",",B447,E447+1)</f>
        <v>7</v>
      </c>
      <c r="G447">
        <f>VALUE(MID(B447,1,D447-1))</f>
        <v>3</v>
      </c>
      <c r="H447">
        <f>VALUE(MID(B447,D447+1,E447-D447-1))</f>
        <v>6</v>
      </c>
      <c r="I447">
        <f>VALUE(MID(B447,E447+1,F447-E447-1))</f>
        <v>18</v>
      </c>
      <c r="J447">
        <f>VALUE(MID(B447,F447+1,4))</f>
        <v>21</v>
      </c>
    </row>
    <row r="448" spans="1:10" hidden="1" x14ac:dyDescent="0.25">
      <c r="A448" t="s">
        <v>446</v>
      </c>
      <c r="B448" t="s">
        <v>547</v>
      </c>
      <c r="C448" t="str">
        <f>IF(RIGHT(B448,5)="22,22","VIC20","")</f>
        <v/>
      </c>
      <c r="D448">
        <f>SEARCH(",",B448)</f>
        <v>2</v>
      </c>
      <c r="E448">
        <f>SEARCH(",",B448,D448+1)</f>
        <v>4</v>
      </c>
      <c r="F448">
        <f>SEARCH(",",B448,E448+1)</f>
        <v>7</v>
      </c>
      <c r="G448">
        <f>VALUE(MID(B448,1,D448-1))</f>
        <v>1</v>
      </c>
      <c r="H448">
        <f>VALUE(MID(B448,D448+1,E448-D448-1))</f>
        <v>1</v>
      </c>
      <c r="I448">
        <f>VALUE(MID(B448,E448+1,F448-E448-1))</f>
        <v>18</v>
      </c>
      <c r="J448">
        <f>VALUE(MID(B448,F448+1,4))</f>
        <v>30</v>
      </c>
    </row>
    <row r="449" spans="1:10" hidden="1" x14ac:dyDescent="0.25">
      <c r="A449" t="s">
        <v>447</v>
      </c>
      <c r="B449" t="s">
        <v>558</v>
      </c>
      <c r="C449" t="str">
        <f>IF(RIGHT(B449,5)="22,22","VIC20","")</f>
        <v/>
      </c>
      <c r="D449">
        <f>SEARCH(",",B449)</f>
        <v>2</v>
      </c>
      <c r="E449">
        <f>SEARCH(",",B449,D449+1)</f>
        <v>4</v>
      </c>
      <c r="F449">
        <f>SEARCH(",",B449,E449+1)</f>
        <v>7</v>
      </c>
      <c r="G449">
        <f>VALUE(MID(B449,1,D449-1))</f>
        <v>0</v>
      </c>
      <c r="H449">
        <f>VALUE(MID(B449,D449+1,E449-D449-1))</f>
        <v>0</v>
      </c>
      <c r="I449">
        <f>VALUE(MID(B449,E449+1,F449-E449-1))</f>
        <v>23</v>
      </c>
      <c r="J449">
        <f>VALUE(MID(B449,F449+1,4))</f>
        <v>32</v>
      </c>
    </row>
    <row r="450" spans="1:10" hidden="1" x14ac:dyDescent="0.25">
      <c r="A450" t="s">
        <v>448</v>
      </c>
      <c r="B450" t="s">
        <v>558</v>
      </c>
      <c r="C450" t="str">
        <f>IF(RIGHT(B450,5)="22,22","VIC20","")</f>
        <v/>
      </c>
      <c r="D450">
        <f>SEARCH(",",B450)</f>
        <v>2</v>
      </c>
      <c r="E450">
        <f>SEARCH(",",B450,D450+1)</f>
        <v>4</v>
      </c>
      <c r="F450">
        <f>SEARCH(",",B450,E450+1)</f>
        <v>7</v>
      </c>
      <c r="G450">
        <f>VALUE(MID(B450,1,D450-1))</f>
        <v>0</v>
      </c>
      <c r="H450">
        <f>VALUE(MID(B450,D450+1,E450-D450-1))</f>
        <v>0</v>
      </c>
      <c r="I450">
        <f>VALUE(MID(B450,E450+1,F450-E450-1))</f>
        <v>23</v>
      </c>
      <c r="J450">
        <f>VALUE(MID(B450,F450+1,4))</f>
        <v>32</v>
      </c>
    </row>
    <row r="451" spans="1:10" hidden="1" x14ac:dyDescent="0.25">
      <c r="A451" t="s">
        <v>449</v>
      </c>
      <c r="B451" t="s">
        <v>551</v>
      </c>
      <c r="C451" t="str">
        <f>IF(RIGHT(B451,5)="22,22","VIC20","")</f>
        <v/>
      </c>
      <c r="D451">
        <f>SEARCH(",",B451)</f>
        <v>2</v>
      </c>
      <c r="E451">
        <f>SEARCH(",",B451,D451+1)</f>
        <v>4</v>
      </c>
      <c r="F451">
        <f>SEARCH(",",B451,E451+1)</f>
        <v>7</v>
      </c>
      <c r="G451">
        <f>VALUE(MID(B451,1,D451-1))</f>
        <v>1</v>
      </c>
      <c r="H451">
        <f>VALUE(MID(B451,D451+1,E451-D451-1))</f>
        <v>0</v>
      </c>
      <c r="I451">
        <f>VALUE(MID(B451,E451+1,F451-E451-1))</f>
        <v>22</v>
      </c>
      <c r="J451">
        <f>VALUE(MID(B451,F451+1,4))</f>
        <v>32</v>
      </c>
    </row>
    <row r="452" spans="1:10" hidden="1" x14ac:dyDescent="0.25">
      <c r="A452" t="s">
        <v>450</v>
      </c>
      <c r="B452" t="s">
        <v>563</v>
      </c>
      <c r="C452" t="str">
        <f>IF(RIGHT(B452,5)="22,22","VIC20","")</f>
        <v/>
      </c>
      <c r="D452">
        <f>SEARCH(",",B452)</f>
        <v>2</v>
      </c>
      <c r="E452">
        <f>SEARCH(",",B452,D452+1)</f>
        <v>4</v>
      </c>
      <c r="F452">
        <f>SEARCH(",",B452,E452+1)</f>
        <v>7</v>
      </c>
      <c r="G452">
        <f>VALUE(MID(B452,1,D452-1))</f>
        <v>2</v>
      </c>
      <c r="H452">
        <f>VALUE(MID(B452,D452+1,E452-D452-1))</f>
        <v>0</v>
      </c>
      <c r="I452">
        <f>VALUE(MID(B452,E452+1,F452-E452-1))</f>
        <v>22</v>
      </c>
      <c r="J452">
        <f>VALUE(MID(B452,F452+1,4))</f>
        <v>32</v>
      </c>
    </row>
    <row r="453" spans="1:10" x14ac:dyDescent="0.25">
      <c r="A453" t="s">
        <v>307</v>
      </c>
      <c r="B453" t="s">
        <v>552</v>
      </c>
      <c r="C453" t="s">
        <v>544</v>
      </c>
      <c r="D453">
        <f>SEARCH(",",B453)</f>
        <v>2</v>
      </c>
      <c r="E453">
        <f>SEARCH(",",B453,D453+1)</f>
        <v>4</v>
      </c>
      <c r="F453">
        <f>SEARCH(",",B453,E453+1)</f>
        <v>7</v>
      </c>
      <c r="G453">
        <f>VALUE(MID(B453,1,D453-1))</f>
        <v>1</v>
      </c>
      <c r="H453">
        <f>VALUE(MID(B453,D453+1,E453-D453-1))</f>
        <v>1</v>
      </c>
      <c r="I453">
        <f>VALUE(MID(B453,E453+1,F453-E453-1))</f>
        <v>22</v>
      </c>
      <c r="J453">
        <f>VALUE(MID(B453,F453+1,4))</f>
        <v>22</v>
      </c>
    </row>
    <row r="454" spans="1:10" hidden="1" x14ac:dyDescent="0.25">
      <c r="A454" t="s">
        <v>452</v>
      </c>
      <c r="B454" t="s">
        <v>554</v>
      </c>
      <c r="C454" t="str">
        <f>IF(RIGHT(B454,5)="22,22","VIC20","")</f>
        <v/>
      </c>
      <c r="D454">
        <f>SEARCH(",",B454)</f>
        <v>2</v>
      </c>
      <c r="E454">
        <f>SEARCH(",",B454,D454+1)</f>
        <v>4</v>
      </c>
      <c r="F454">
        <f>SEARCH(",",B454,E454+1)</f>
        <v>7</v>
      </c>
      <c r="G454">
        <f>VALUE(MID(B454,1,D454-1))</f>
        <v>1</v>
      </c>
      <c r="H454">
        <f>VALUE(MID(B454,D454+1,E454-D454-1))</f>
        <v>1</v>
      </c>
      <c r="I454">
        <f>VALUE(MID(B454,E454+1,F454-E454-1))</f>
        <v>20</v>
      </c>
      <c r="J454">
        <f>VALUE(MID(B454,F454+1,4))</f>
        <v>30</v>
      </c>
    </row>
    <row r="455" spans="1:10" hidden="1" x14ac:dyDescent="0.25">
      <c r="A455" t="s">
        <v>453</v>
      </c>
      <c r="B455" t="s">
        <v>587</v>
      </c>
      <c r="C455" t="str">
        <f>IF(RIGHT(B455,5)="22,22","VIC20","")</f>
        <v/>
      </c>
      <c r="D455">
        <f>SEARCH(",",B455)</f>
        <v>2</v>
      </c>
      <c r="E455">
        <f>SEARCH(",",B455,D455+1)</f>
        <v>4</v>
      </c>
      <c r="F455">
        <f>SEARCH(",",B455,E455+1)</f>
        <v>7</v>
      </c>
      <c r="G455">
        <f>VALUE(MID(B455,1,D455-1))</f>
        <v>6</v>
      </c>
      <c r="H455">
        <f>VALUE(MID(B455,D455+1,E455-D455-1))</f>
        <v>1</v>
      </c>
      <c r="I455">
        <f>VALUE(MID(B455,E455+1,F455-E455-1))</f>
        <v>17</v>
      </c>
      <c r="J455">
        <f>VALUE(MID(B455,F455+1,4))</f>
        <v>30</v>
      </c>
    </row>
    <row r="456" spans="1:10" hidden="1" x14ac:dyDescent="0.25">
      <c r="A456" t="s">
        <v>454</v>
      </c>
      <c r="B456" t="s">
        <v>558</v>
      </c>
      <c r="C456" t="str">
        <f>IF(RIGHT(B456,5)="22,22","VIC20","")</f>
        <v/>
      </c>
      <c r="D456">
        <f>SEARCH(",",B456)</f>
        <v>2</v>
      </c>
      <c r="E456">
        <f>SEARCH(",",B456,D456+1)</f>
        <v>4</v>
      </c>
      <c r="F456">
        <f>SEARCH(",",B456,E456+1)</f>
        <v>7</v>
      </c>
      <c r="G456">
        <f>VALUE(MID(B456,1,D456-1))</f>
        <v>0</v>
      </c>
      <c r="H456">
        <f>VALUE(MID(B456,D456+1,E456-D456-1))</f>
        <v>0</v>
      </c>
      <c r="I456">
        <f>VALUE(MID(B456,E456+1,F456-E456-1))</f>
        <v>23</v>
      </c>
      <c r="J456">
        <f>VALUE(MID(B456,F456+1,4))</f>
        <v>32</v>
      </c>
    </row>
    <row r="457" spans="1:10" hidden="1" x14ac:dyDescent="0.25">
      <c r="A457" t="s">
        <v>455</v>
      </c>
      <c r="B457" t="s">
        <v>649</v>
      </c>
      <c r="C457" t="str">
        <f>IF(RIGHT(B457,5)="22,22","VIC20","")</f>
        <v/>
      </c>
      <c r="D457">
        <f>SEARCH(",",B457)</f>
        <v>2</v>
      </c>
      <c r="E457">
        <f>SEARCH(",",B457,D457+1)</f>
        <v>4</v>
      </c>
      <c r="F457">
        <f>SEARCH(",",B457,E457+1)</f>
        <v>7</v>
      </c>
      <c r="G457">
        <f>VALUE(MID(B457,1,D457-1))</f>
        <v>0</v>
      </c>
      <c r="H457">
        <f>VALUE(MID(B457,D457+1,E457-D457-1))</f>
        <v>0</v>
      </c>
      <c r="I457">
        <f>VALUE(MID(B457,E457+1,F457-E457-1))</f>
        <v>23</v>
      </c>
      <c r="J457">
        <f>VALUE(MID(B457,F457+1,4))</f>
        <v>26</v>
      </c>
    </row>
    <row r="458" spans="1:10" hidden="1" x14ac:dyDescent="0.25">
      <c r="A458" t="s">
        <v>456</v>
      </c>
      <c r="B458" t="s">
        <v>548</v>
      </c>
      <c r="C458" t="str">
        <f>IF(RIGHT(B458,5)="22,22","VIC20","")</f>
        <v/>
      </c>
      <c r="D458">
        <f>SEARCH(",",B458)</f>
        <v>2</v>
      </c>
      <c r="E458">
        <f>SEARCH(",",B458,D458+1)</f>
        <v>4</v>
      </c>
      <c r="F458">
        <f>SEARCH(",",B458,E458+1)</f>
        <v>7</v>
      </c>
      <c r="G458">
        <f>VALUE(MID(B458,1,D458-1))</f>
        <v>1</v>
      </c>
      <c r="H458">
        <f>VALUE(MID(B458,D458+1,E458-D458-1))</f>
        <v>1</v>
      </c>
      <c r="I458">
        <f>VALUE(MID(B458,E458+1,F458-E458-1))</f>
        <v>22</v>
      </c>
      <c r="J458">
        <f>VALUE(MID(B458,F458+1,4))</f>
        <v>30</v>
      </c>
    </row>
    <row r="459" spans="1:10" hidden="1" x14ac:dyDescent="0.25">
      <c r="A459" t="s">
        <v>457</v>
      </c>
      <c r="B459" t="s">
        <v>603</v>
      </c>
      <c r="C459" t="str">
        <f>IF(RIGHT(B459,5)="22,22","VIC20","")</f>
        <v/>
      </c>
      <c r="D459">
        <f>SEARCH(",",B459)</f>
        <v>2</v>
      </c>
      <c r="E459">
        <f>SEARCH(",",B459,D459+1)</f>
        <v>4</v>
      </c>
      <c r="F459">
        <f>SEARCH(",",B459,E459+1)</f>
        <v>7</v>
      </c>
      <c r="G459">
        <f>VALUE(MID(B459,1,D459-1))</f>
        <v>0</v>
      </c>
      <c r="H459">
        <f>VALUE(MID(B459,D459+1,E459-D459-1))</f>
        <v>0</v>
      </c>
      <c r="I459">
        <f>VALUE(MID(B459,E459+1,F459-E459-1))</f>
        <v>21</v>
      </c>
      <c r="J459">
        <f>VALUE(MID(B459,F459+1,4))</f>
        <v>30</v>
      </c>
    </row>
    <row r="460" spans="1:10" x14ac:dyDescent="0.25">
      <c r="A460" t="s">
        <v>360</v>
      </c>
      <c r="B460" t="s">
        <v>552</v>
      </c>
      <c r="C460" t="s">
        <v>544</v>
      </c>
      <c r="D460">
        <f>SEARCH(",",B460)</f>
        <v>2</v>
      </c>
      <c r="E460">
        <f>SEARCH(",",B460,D460+1)</f>
        <v>4</v>
      </c>
      <c r="F460">
        <f>SEARCH(",",B460,E460+1)</f>
        <v>7</v>
      </c>
      <c r="G460">
        <f>VALUE(MID(B460,1,D460-1))</f>
        <v>1</v>
      </c>
      <c r="H460">
        <f>VALUE(MID(B460,D460+1,E460-D460-1))</f>
        <v>1</v>
      </c>
      <c r="I460">
        <f>VALUE(MID(B460,E460+1,F460-E460-1))</f>
        <v>22</v>
      </c>
      <c r="J460">
        <f>VALUE(MID(B460,F460+1,4))</f>
        <v>22</v>
      </c>
    </row>
    <row r="461" spans="1:10" hidden="1" x14ac:dyDescent="0.25">
      <c r="A461" t="s">
        <v>459</v>
      </c>
      <c r="B461" t="s">
        <v>553</v>
      </c>
      <c r="C461" t="str">
        <f>IF(RIGHT(B461,5)="22,22","VIC20","")</f>
        <v/>
      </c>
      <c r="D461">
        <f>SEARCH(",",B461)</f>
        <v>2</v>
      </c>
      <c r="E461">
        <f>SEARCH(",",B461,D461+1)</f>
        <v>4</v>
      </c>
      <c r="F461">
        <f>SEARCH(",",B461,E461+1)</f>
        <v>7</v>
      </c>
      <c r="G461">
        <f>VALUE(MID(B461,1,D461-1))</f>
        <v>1</v>
      </c>
      <c r="H461">
        <f>VALUE(MID(B461,D461+1,E461-D461-1))</f>
        <v>1</v>
      </c>
      <c r="I461">
        <f>VALUE(MID(B461,E461+1,F461-E461-1))</f>
        <v>19</v>
      </c>
      <c r="J461">
        <f>VALUE(MID(B461,F461+1,4))</f>
        <v>30</v>
      </c>
    </row>
    <row r="462" spans="1:10" x14ac:dyDescent="0.25">
      <c r="A462" t="s">
        <v>361</v>
      </c>
      <c r="B462" t="s">
        <v>552</v>
      </c>
      <c r="C462" t="s">
        <v>544</v>
      </c>
      <c r="D462">
        <f>SEARCH(",",B462)</f>
        <v>2</v>
      </c>
      <c r="E462">
        <f>SEARCH(",",B462,D462+1)</f>
        <v>4</v>
      </c>
      <c r="F462">
        <f>SEARCH(",",B462,E462+1)</f>
        <v>7</v>
      </c>
      <c r="G462">
        <f>VALUE(MID(B462,1,D462-1))</f>
        <v>1</v>
      </c>
      <c r="H462">
        <f>VALUE(MID(B462,D462+1,E462-D462-1))</f>
        <v>1</v>
      </c>
      <c r="I462">
        <f>VALUE(MID(B462,E462+1,F462-E462-1))</f>
        <v>22</v>
      </c>
      <c r="J462">
        <f>VALUE(MID(B462,F462+1,4))</f>
        <v>22</v>
      </c>
    </row>
    <row r="463" spans="1:10" hidden="1" x14ac:dyDescent="0.25">
      <c r="A463" t="s">
        <v>461</v>
      </c>
      <c r="B463" t="s">
        <v>622</v>
      </c>
      <c r="C463" t="str">
        <f>IF(RIGHT(B463,5)="22,22","VIC20","")</f>
        <v/>
      </c>
      <c r="D463">
        <f>SEARCH(",",B463)</f>
        <v>2</v>
      </c>
      <c r="E463">
        <f>SEARCH(",",B463,D463+1)</f>
        <v>4</v>
      </c>
      <c r="F463">
        <f>SEARCH(",",B463,E463+1)</f>
        <v>7</v>
      </c>
      <c r="G463">
        <f>VALUE(MID(B463,1,D463-1))</f>
        <v>0</v>
      </c>
      <c r="H463">
        <f>VALUE(MID(B463,D463+1,E463-D463-1))</f>
        <v>0</v>
      </c>
      <c r="I463">
        <f>VALUE(MID(B463,E463+1,F463-E463-1))</f>
        <v>22</v>
      </c>
      <c r="J463">
        <f>VALUE(MID(B463,F463+1,4))</f>
        <v>32</v>
      </c>
    </row>
    <row r="464" spans="1:10" hidden="1" x14ac:dyDescent="0.25">
      <c r="A464" t="s">
        <v>462</v>
      </c>
      <c r="B464" t="s">
        <v>548</v>
      </c>
      <c r="C464" t="str">
        <f>IF(RIGHT(B464,5)="22,22","VIC20","")</f>
        <v/>
      </c>
      <c r="D464">
        <f>SEARCH(",",B464)</f>
        <v>2</v>
      </c>
      <c r="E464">
        <f>SEARCH(",",B464,D464+1)</f>
        <v>4</v>
      </c>
      <c r="F464">
        <f>SEARCH(",",B464,E464+1)</f>
        <v>7</v>
      </c>
      <c r="G464">
        <f>VALUE(MID(B464,1,D464-1))</f>
        <v>1</v>
      </c>
      <c r="H464">
        <f>VALUE(MID(B464,D464+1,E464-D464-1))</f>
        <v>1</v>
      </c>
      <c r="I464">
        <f>VALUE(MID(B464,E464+1,F464-E464-1))</f>
        <v>22</v>
      </c>
      <c r="J464">
        <f>VALUE(MID(B464,F464+1,4))</f>
        <v>30</v>
      </c>
    </row>
    <row r="465" spans="1:10" x14ac:dyDescent="0.25">
      <c r="A465" t="s">
        <v>362</v>
      </c>
      <c r="B465" t="s">
        <v>593</v>
      </c>
      <c r="C465" t="s">
        <v>544</v>
      </c>
      <c r="D465">
        <f>SEARCH(",",B465)</f>
        <v>2</v>
      </c>
      <c r="E465">
        <f>SEARCH(",",B465,D465+1)</f>
        <v>4</v>
      </c>
      <c r="F465">
        <f>SEARCH(",",B465,E465+1)</f>
        <v>7</v>
      </c>
      <c r="G465">
        <f>VALUE(MID(B465,1,D465-1))</f>
        <v>1</v>
      </c>
      <c r="H465">
        <f>VALUE(MID(B465,D465+1,E465-D465-1))</f>
        <v>1</v>
      </c>
      <c r="I465">
        <f>VALUE(MID(B465,E465+1,F465-E465-1))</f>
        <v>21</v>
      </c>
      <c r="J465">
        <f>VALUE(MID(B465,F465+1,4))</f>
        <v>22</v>
      </c>
    </row>
    <row r="466" spans="1:10" hidden="1" x14ac:dyDescent="0.25">
      <c r="A466" t="s">
        <v>464</v>
      </c>
      <c r="B466" t="s">
        <v>573</v>
      </c>
      <c r="C466" t="str">
        <f>IF(RIGHT(B466,5)="22,22","VIC20","")</f>
        <v/>
      </c>
      <c r="D466">
        <f>SEARCH(",",B466)</f>
        <v>2</v>
      </c>
      <c r="E466">
        <f>SEARCH(",",B466,D466+1)</f>
        <v>4</v>
      </c>
      <c r="F466">
        <f>SEARCH(",",B466,E466+1)</f>
        <v>7</v>
      </c>
      <c r="G466">
        <f>VALUE(MID(B466,1,D466-1))</f>
        <v>3</v>
      </c>
      <c r="H466">
        <f>VALUE(MID(B466,D466+1,E466-D466-1))</f>
        <v>0</v>
      </c>
      <c r="I466">
        <f>VALUE(MID(B466,E466+1,F466-E466-1))</f>
        <v>21</v>
      </c>
      <c r="J466">
        <f>VALUE(MID(B466,F466+1,4))</f>
        <v>32</v>
      </c>
    </row>
    <row r="467" spans="1:10" hidden="1" x14ac:dyDescent="0.25">
      <c r="A467" t="s">
        <v>465</v>
      </c>
      <c r="B467" t="s">
        <v>548</v>
      </c>
      <c r="C467" t="str">
        <f>IF(RIGHT(B467,5)="22,22","VIC20","")</f>
        <v/>
      </c>
      <c r="D467">
        <f>SEARCH(",",B467)</f>
        <v>2</v>
      </c>
      <c r="E467">
        <f>SEARCH(",",B467,D467+1)</f>
        <v>4</v>
      </c>
      <c r="F467">
        <f>SEARCH(",",B467,E467+1)</f>
        <v>7</v>
      </c>
      <c r="G467">
        <f>VALUE(MID(B467,1,D467-1))</f>
        <v>1</v>
      </c>
      <c r="H467">
        <f>VALUE(MID(B467,D467+1,E467-D467-1))</f>
        <v>1</v>
      </c>
      <c r="I467">
        <f>VALUE(MID(B467,E467+1,F467-E467-1))</f>
        <v>22</v>
      </c>
      <c r="J467">
        <f>VALUE(MID(B467,F467+1,4))</f>
        <v>30</v>
      </c>
    </row>
    <row r="468" spans="1:10" x14ac:dyDescent="0.25">
      <c r="A468" t="s">
        <v>451</v>
      </c>
      <c r="B468" t="s">
        <v>657</v>
      </c>
      <c r="C468" t="s">
        <v>544</v>
      </c>
      <c r="D468">
        <f>SEARCH(",",B468)</f>
        <v>2</v>
      </c>
      <c r="E468">
        <f>SEARCH(",",B468,D468+1)</f>
        <v>6</v>
      </c>
      <c r="F468">
        <f>SEARCH(",",B468,E468+1)</f>
        <v>8</v>
      </c>
      <c r="G468">
        <f>VALUE(MID(B468,1,D468-1))</f>
        <v>8</v>
      </c>
      <c r="H468">
        <f>VALUE(MID(B468,D468+1,E468-D468-1))</f>
        <v>116</v>
      </c>
      <c r="I468">
        <f>VALUE(MID(B468,E468+1,F468-E468-1))</f>
        <v>0</v>
      </c>
      <c r="J468">
        <f>VALUE(MID(B468,F468+1,4))</f>
        <v>0</v>
      </c>
    </row>
    <row r="469" spans="1:10" hidden="1" x14ac:dyDescent="0.25">
      <c r="A469" t="s">
        <v>467</v>
      </c>
      <c r="B469" t="s">
        <v>548</v>
      </c>
      <c r="C469" t="str">
        <f>IF(RIGHT(B469,5)="22,22","VIC20","")</f>
        <v/>
      </c>
      <c r="D469">
        <f>SEARCH(",",B469)</f>
        <v>2</v>
      </c>
      <c r="E469">
        <f>SEARCH(",",B469,D469+1)</f>
        <v>4</v>
      </c>
      <c r="F469">
        <f>SEARCH(",",B469,E469+1)</f>
        <v>7</v>
      </c>
      <c r="G469">
        <f>VALUE(MID(B469,1,D469-1))</f>
        <v>1</v>
      </c>
      <c r="H469">
        <f>VALUE(MID(B469,D469+1,E469-D469-1))</f>
        <v>1</v>
      </c>
      <c r="I469">
        <f>VALUE(MID(B469,E469+1,F469-E469-1))</f>
        <v>22</v>
      </c>
      <c r="J469">
        <f>VALUE(MID(B469,F469+1,4))</f>
        <v>30</v>
      </c>
    </row>
    <row r="470" spans="1:10" x14ac:dyDescent="0.25">
      <c r="A470" t="s">
        <v>314</v>
      </c>
      <c r="B470" t="s">
        <v>552</v>
      </c>
      <c r="C470" t="s">
        <v>544</v>
      </c>
      <c r="D470">
        <f>SEARCH(",",B470)</f>
        <v>2</v>
      </c>
      <c r="E470">
        <f>SEARCH(",",B470,D470+1)</f>
        <v>4</v>
      </c>
      <c r="F470">
        <f>SEARCH(",",B470,E470+1)</f>
        <v>7</v>
      </c>
      <c r="G470">
        <f>VALUE(MID(B470,1,D470-1))</f>
        <v>1</v>
      </c>
      <c r="H470">
        <f>VALUE(MID(B470,D470+1,E470-D470-1))</f>
        <v>1</v>
      </c>
      <c r="I470">
        <f>VALUE(MID(B470,E470+1,F470-E470-1))</f>
        <v>22</v>
      </c>
      <c r="J470">
        <f>VALUE(MID(B470,F470+1,4))</f>
        <v>22</v>
      </c>
    </row>
    <row r="471" spans="1:10" hidden="1" x14ac:dyDescent="0.25">
      <c r="A471" t="s">
        <v>469</v>
      </c>
      <c r="B471" t="s">
        <v>570</v>
      </c>
      <c r="C471" t="str">
        <f>IF(RIGHT(B471,5)="22,22","VIC20","")</f>
        <v/>
      </c>
      <c r="D471">
        <f>SEARCH(",",B471)</f>
        <v>2</v>
      </c>
      <c r="E471">
        <f>SEARCH(",",B471,D471+1)</f>
        <v>4</v>
      </c>
      <c r="F471">
        <f>SEARCH(",",B471,E471+1)</f>
        <v>7</v>
      </c>
      <c r="G471">
        <f>VALUE(MID(B471,1,D471-1))</f>
        <v>2</v>
      </c>
      <c r="H471">
        <f>VALUE(MID(B471,D471+1,E471-D471-1))</f>
        <v>1</v>
      </c>
      <c r="I471">
        <f>VALUE(MID(B471,E471+1,F471-E471-1))</f>
        <v>21</v>
      </c>
      <c r="J471">
        <f>VALUE(MID(B471,F471+1,4))</f>
        <v>30</v>
      </c>
    </row>
    <row r="472" spans="1:10" hidden="1" x14ac:dyDescent="0.25">
      <c r="A472" t="s">
        <v>470</v>
      </c>
      <c r="B472" t="s">
        <v>602</v>
      </c>
      <c r="C472" t="str">
        <f>IF(RIGHT(B472,5)="22,22","VIC20","")</f>
        <v/>
      </c>
      <c r="D472">
        <f>SEARCH(",",B472)</f>
        <v>2</v>
      </c>
      <c r="E472">
        <f>SEARCH(",",B472,D472+1)</f>
        <v>4</v>
      </c>
      <c r="F472">
        <f>SEARCH(",",B472,E472+1)</f>
        <v>7</v>
      </c>
      <c r="G472">
        <f>VALUE(MID(B472,1,D472-1))</f>
        <v>2</v>
      </c>
      <c r="H472">
        <f>VALUE(MID(B472,D472+1,E472-D472-1))</f>
        <v>1</v>
      </c>
      <c r="I472">
        <f>VALUE(MID(B472,E472+1,F472-E472-1))</f>
        <v>20</v>
      </c>
      <c r="J472">
        <f>VALUE(MID(B472,F472+1,4))</f>
        <v>30</v>
      </c>
    </row>
    <row r="473" spans="1:10" hidden="1" x14ac:dyDescent="0.25">
      <c r="A473" t="s">
        <v>471</v>
      </c>
      <c r="B473" t="s">
        <v>598</v>
      </c>
      <c r="C473" t="str">
        <f>IF(RIGHT(B473,5)="22,22","VIC20","")</f>
        <v/>
      </c>
      <c r="D473">
        <f>SEARCH(",",B473)</f>
        <v>2</v>
      </c>
      <c r="E473">
        <f>SEARCH(",",B473,D473+1)</f>
        <v>4</v>
      </c>
      <c r="F473">
        <f>SEARCH(",",B473,E473+1)</f>
        <v>7</v>
      </c>
      <c r="G473">
        <f>VALUE(MID(B473,1,D473-1))</f>
        <v>0</v>
      </c>
      <c r="H473">
        <f>VALUE(MID(B473,D473+1,E473-D473-1))</f>
        <v>0</v>
      </c>
      <c r="I473">
        <f>VALUE(MID(B473,E473+1,F473-E473-1))</f>
        <v>24</v>
      </c>
      <c r="J473">
        <f>VALUE(MID(B473,F473+1,4))</f>
        <v>32</v>
      </c>
    </row>
    <row r="474" spans="1:10" hidden="1" x14ac:dyDescent="0.25">
      <c r="A474" t="s">
        <v>472</v>
      </c>
      <c r="B474" t="s">
        <v>558</v>
      </c>
      <c r="C474" t="str">
        <f>IF(RIGHT(B474,5)="22,22","VIC20","")</f>
        <v/>
      </c>
      <c r="D474">
        <f>SEARCH(",",B474)</f>
        <v>2</v>
      </c>
      <c r="E474">
        <f>SEARCH(",",B474,D474+1)</f>
        <v>4</v>
      </c>
      <c r="F474">
        <f>SEARCH(",",B474,E474+1)</f>
        <v>7</v>
      </c>
      <c r="G474">
        <f>VALUE(MID(B474,1,D474-1))</f>
        <v>0</v>
      </c>
      <c r="H474">
        <f>VALUE(MID(B474,D474+1,E474-D474-1))</f>
        <v>0</v>
      </c>
      <c r="I474">
        <f>VALUE(MID(B474,E474+1,F474-E474-1))</f>
        <v>23</v>
      </c>
      <c r="J474">
        <f>VALUE(MID(B474,F474+1,4))</f>
        <v>32</v>
      </c>
    </row>
    <row r="475" spans="1:10" hidden="1" x14ac:dyDescent="0.25">
      <c r="A475" t="s">
        <v>473</v>
      </c>
      <c r="B475" t="s">
        <v>548</v>
      </c>
      <c r="C475" t="str">
        <f>IF(RIGHT(B475,5)="22,22","VIC20","")</f>
        <v/>
      </c>
      <c r="D475">
        <f>SEARCH(",",B475)</f>
        <v>2</v>
      </c>
      <c r="E475">
        <f>SEARCH(",",B475,D475+1)</f>
        <v>4</v>
      </c>
      <c r="F475">
        <f>SEARCH(",",B475,E475+1)</f>
        <v>7</v>
      </c>
      <c r="G475">
        <f>VALUE(MID(B475,1,D475-1))</f>
        <v>1</v>
      </c>
      <c r="H475">
        <f>VALUE(MID(B475,D475+1,E475-D475-1))</f>
        <v>1</v>
      </c>
      <c r="I475">
        <f>VALUE(MID(B475,E475+1,F475-E475-1))</f>
        <v>22</v>
      </c>
      <c r="J475">
        <f>VALUE(MID(B475,F475+1,4))</f>
        <v>30</v>
      </c>
    </row>
    <row r="476" spans="1:10" hidden="1" x14ac:dyDescent="0.25">
      <c r="A476" t="s">
        <v>474</v>
      </c>
      <c r="B476" t="s">
        <v>548</v>
      </c>
      <c r="C476" t="str">
        <f>IF(RIGHT(B476,5)="22,22","VIC20","")</f>
        <v/>
      </c>
      <c r="D476">
        <f>SEARCH(",",B476)</f>
        <v>2</v>
      </c>
      <c r="E476">
        <f>SEARCH(",",B476,D476+1)</f>
        <v>4</v>
      </c>
      <c r="F476">
        <f>SEARCH(",",B476,E476+1)</f>
        <v>7</v>
      </c>
      <c r="G476">
        <f>VALUE(MID(B476,1,D476-1))</f>
        <v>1</v>
      </c>
      <c r="H476">
        <f>VALUE(MID(B476,D476+1,E476-D476-1))</f>
        <v>1</v>
      </c>
      <c r="I476">
        <f>VALUE(MID(B476,E476+1,F476-E476-1))</f>
        <v>22</v>
      </c>
      <c r="J476">
        <f>VALUE(MID(B476,F476+1,4))</f>
        <v>30</v>
      </c>
    </row>
    <row r="477" spans="1:10" hidden="1" x14ac:dyDescent="0.25">
      <c r="A477" t="s">
        <v>475</v>
      </c>
      <c r="B477" t="s">
        <v>563</v>
      </c>
      <c r="C477" t="str">
        <f>IF(RIGHT(B477,5)="22,22","VIC20","")</f>
        <v/>
      </c>
      <c r="D477">
        <f>SEARCH(",",B477)</f>
        <v>2</v>
      </c>
      <c r="E477">
        <f>SEARCH(",",B477,D477+1)</f>
        <v>4</v>
      </c>
      <c r="F477">
        <f>SEARCH(",",B477,E477+1)</f>
        <v>7</v>
      </c>
      <c r="G477">
        <f>VALUE(MID(B477,1,D477-1))</f>
        <v>2</v>
      </c>
      <c r="H477">
        <f>VALUE(MID(B477,D477+1,E477-D477-1))</f>
        <v>0</v>
      </c>
      <c r="I477">
        <f>VALUE(MID(B477,E477+1,F477-E477-1))</f>
        <v>22</v>
      </c>
      <c r="J477">
        <f>VALUE(MID(B477,F477+1,4))</f>
        <v>32</v>
      </c>
    </row>
    <row r="478" spans="1:10" hidden="1" x14ac:dyDescent="0.25">
      <c r="A478" t="s">
        <v>476</v>
      </c>
      <c r="B478" t="s">
        <v>554</v>
      </c>
      <c r="C478" t="str">
        <f>IF(RIGHT(B478,5)="22,22","VIC20","")</f>
        <v/>
      </c>
      <c r="D478">
        <f>SEARCH(",",B478)</f>
        <v>2</v>
      </c>
      <c r="E478">
        <f>SEARCH(",",B478,D478+1)</f>
        <v>4</v>
      </c>
      <c r="F478">
        <f>SEARCH(",",B478,E478+1)</f>
        <v>7</v>
      </c>
      <c r="G478">
        <f>VALUE(MID(B478,1,D478-1))</f>
        <v>1</v>
      </c>
      <c r="H478">
        <f>VALUE(MID(B478,D478+1,E478-D478-1))</f>
        <v>1</v>
      </c>
      <c r="I478">
        <f>VALUE(MID(B478,E478+1,F478-E478-1))</f>
        <v>20</v>
      </c>
      <c r="J478">
        <f>VALUE(MID(B478,F478+1,4))</f>
        <v>30</v>
      </c>
    </row>
    <row r="479" spans="1:10" hidden="1" x14ac:dyDescent="0.25">
      <c r="A479" t="s">
        <v>477</v>
      </c>
      <c r="B479" t="s">
        <v>658</v>
      </c>
      <c r="C479" t="str">
        <f>IF(RIGHT(B479,5)="22,22","VIC20","")</f>
        <v/>
      </c>
      <c r="D479">
        <f>SEARCH(",",B479)</f>
        <v>2</v>
      </c>
      <c r="E479">
        <f>SEARCH(",",B479,D479+1)</f>
        <v>4</v>
      </c>
      <c r="F479">
        <f>SEARCH(",",B479,E479+1)</f>
        <v>7</v>
      </c>
      <c r="G479">
        <f>VALUE(MID(B479,1,D479-1))</f>
        <v>2</v>
      </c>
      <c r="H479">
        <f>VALUE(MID(B479,D479+1,E479-D479-1))</f>
        <v>2</v>
      </c>
      <c r="I479">
        <f>VALUE(MID(B479,E479+1,F479-E479-1))</f>
        <v>21</v>
      </c>
      <c r="J479">
        <f>VALUE(MID(B479,F479+1,4))</f>
        <v>28</v>
      </c>
    </row>
    <row r="480" spans="1:10" x14ac:dyDescent="0.25">
      <c r="A480" t="s">
        <v>381</v>
      </c>
      <c r="B480" t="s">
        <v>647</v>
      </c>
      <c r="C480" t="s">
        <v>544</v>
      </c>
      <c r="D480">
        <f>SEARCH(",",B480)</f>
        <v>2</v>
      </c>
      <c r="E480">
        <f>SEARCH(",",B480,D480+1)</f>
        <v>4</v>
      </c>
      <c r="F480">
        <f>SEARCH(",",B480,E480+1)</f>
        <v>7</v>
      </c>
      <c r="G480">
        <f>VALUE(MID(B480,1,D480-1))</f>
        <v>1</v>
      </c>
      <c r="H480">
        <f>VALUE(MID(B480,D480+1,E480-D480-1))</f>
        <v>1</v>
      </c>
      <c r="I480">
        <f>VALUE(MID(B480,E480+1,F480-E480-1))</f>
        <v>22</v>
      </c>
      <c r="J480">
        <f>VALUE(MID(B480,F480+1,4))</f>
        <v>19</v>
      </c>
    </row>
    <row r="481" spans="1:10" hidden="1" x14ac:dyDescent="0.25">
      <c r="A481" t="s">
        <v>479</v>
      </c>
      <c r="B481" t="s">
        <v>555</v>
      </c>
      <c r="C481" t="str">
        <f>IF(RIGHT(B481,5)="22,22","VIC20","")</f>
        <v/>
      </c>
      <c r="D481">
        <f>SEARCH(",",B481)</f>
        <v>2</v>
      </c>
      <c r="E481">
        <f>SEARCH(",",B481,D481+1)</f>
        <v>4</v>
      </c>
      <c r="F481">
        <f>SEARCH(",",B481,E481+1)</f>
        <v>7</v>
      </c>
      <c r="G481">
        <f>VALUE(MID(B481,1,D481-1))</f>
        <v>2</v>
      </c>
      <c r="H481">
        <f>VALUE(MID(B481,D481+1,E481-D481-1))</f>
        <v>1</v>
      </c>
      <c r="I481">
        <f>VALUE(MID(B481,E481+1,F481-E481-1))</f>
        <v>19</v>
      </c>
      <c r="J481">
        <f>VALUE(MID(B481,F481+1,4))</f>
        <v>30</v>
      </c>
    </row>
    <row r="482" spans="1:10" hidden="1" x14ac:dyDescent="0.25">
      <c r="A482" t="s">
        <v>480</v>
      </c>
      <c r="B482" t="s">
        <v>581</v>
      </c>
      <c r="C482" t="str">
        <f>IF(RIGHT(B482,5)="22,22","VIC20","")</f>
        <v/>
      </c>
      <c r="D482">
        <f>SEARCH(",",B482)</f>
        <v>2</v>
      </c>
      <c r="E482">
        <f>SEARCH(",",B482,D482+1)</f>
        <v>4</v>
      </c>
      <c r="F482">
        <f>SEARCH(",",B482,E482+1)</f>
        <v>7</v>
      </c>
      <c r="G482">
        <f>VALUE(MID(B482,1,D482-1))</f>
        <v>0</v>
      </c>
      <c r="H482">
        <f>VALUE(MID(B482,D482+1,E482-D482-1))</f>
        <v>0</v>
      </c>
      <c r="I482">
        <f>VALUE(MID(B482,E482+1,F482-E482-1))</f>
        <v>21</v>
      </c>
      <c r="J482">
        <f>VALUE(MID(B482,F482+1,4))</f>
        <v>32</v>
      </c>
    </row>
    <row r="483" spans="1:10" hidden="1" x14ac:dyDescent="0.25">
      <c r="A483" t="s">
        <v>481</v>
      </c>
      <c r="B483" t="s">
        <v>659</v>
      </c>
      <c r="C483" t="str">
        <f>IF(RIGHT(B483,5)="22,22","VIC20","")</f>
        <v/>
      </c>
      <c r="D483">
        <f>SEARCH(",",B483)</f>
        <v>2</v>
      </c>
      <c r="E483">
        <f>SEARCH(",",B483,D483+1)</f>
        <v>4</v>
      </c>
      <c r="F483">
        <f>SEARCH(",",B483,E483+1)</f>
        <v>7</v>
      </c>
      <c r="G483">
        <f>VALUE(MID(B483,1,D483-1))</f>
        <v>2</v>
      </c>
      <c r="H483">
        <f>VALUE(MID(B483,D483+1,E483-D483-1))</f>
        <v>1</v>
      </c>
      <c r="I483">
        <f>VALUE(MID(B483,E483+1,F483-E483-1))</f>
        <v>22</v>
      </c>
      <c r="J483">
        <f>VALUE(MID(B483,F483+1,4))</f>
        <v>30</v>
      </c>
    </row>
    <row r="484" spans="1:10" hidden="1" x14ac:dyDescent="0.25">
      <c r="A484" t="s">
        <v>482</v>
      </c>
      <c r="B484" t="s">
        <v>592</v>
      </c>
      <c r="C484" t="str">
        <f>IF(RIGHT(B484,5)="22,22","VIC20","")</f>
        <v/>
      </c>
      <c r="D484">
        <f>SEARCH(",",B484)</f>
        <v>2</v>
      </c>
      <c r="E484">
        <f>SEARCH(",",B484,D484+1)</f>
        <v>4</v>
      </c>
      <c r="F484">
        <f>SEARCH(",",B484,E484+1)</f>
        <v>7</v>
      </c>
      <c r="G484">
        <f>VALUE(MID(B484,1,D484-1))</f>
        <v>1</v>
      </c>
      <c r="H484">
        <f>VALUE(MID(B484,D484+1,E484-D484-1))</f>
        <v>1</v>
      </c>
      <c r="I484">
        <f>VALUE(MID(B484,E484+1,F484-E484-1))</f>
        <v>23</v>
      </c>
      <c r="J484">
        <f>VALUE(MID(B484,F484+1,4))</f>
        <v>30</v>
      </c>
    </row>
    <row r="485" spans="1:10" hidden="1" x14ac:dyDescent="0.25">
      <c r="A485" t="s">
        <v>483</v>
      </c>
      <c r="B485" t="s">
        <v>660</v>
      </c>
      <c r="C485" t="str">
        <f>IF(RIGHT(B485,5)="22,22","VIC20","")</f>
        <v/>
      </c>
      <c r="D485">
        <f>SEARCH(",",B485)</f>
        <v>2</v>
      </c>
      <c r="E485">
        <f>SEARCH(",",B485,D485+1)</f>
        <v>4</v>
      </c>
      <c r="F485">
        <f>SEARCH(",",B485,E485+1)</f>
        <v>7</v>
      </c>
      <c r="G485">
        <f>VALUE(MID(B485,1,D485-1))</f>
        <v>3</v>
      </c>
      <c r="H485">
        <f>VALUE(MID(B485,D485+1,E485-D485-1))</f>
        <v>3</v>
      </c>
      <c r="I485">
        <f>VALUE(MID(B485,E485+1,F485-E485-1))</f>
        <v>18</v>
      </c>
      <c r="J485">
        <f>VALUE(MID(B485,F485+1,4))</f>
        <v>26</v>
      </c>
    </row>
    <row r="486" spans="1:10" hidden="1" x14ac:dyDescent="0.25">
      <c r="A486" t="s">
        <v>484</v>
      </c>
      <c r="B486" t="s">
        <v>553</v>
      </c>
      <c r="C486" t="str">
        <f>IF(RIGHT(B486,5)="22,22","VIC20","")</f>
        <v/>
      </c>
      <c r="D486">
        <f>SEARCH(",",B486)</f>
        <v>2</v>
      </c>
      <c r="E486">
        <f>SEARCH(",",B486,D486+1)</f>
        <v>4</v>
      </c>
      <c r="F486">
        <f>SEARCH(",",B486,E486+1)</f>
        <v>7</v>
      </c>
      <c r="G486">
        <f>VALUE(MID(B486,1,D486-1))</f>
        <v>1</v>
      </c>
      <c r="H486">
        <f>VALUE(MID(B486,D486+1,E486-D486-1))</f>
        <v>1</v>
      </c>
      <c r="I486">
        <f>VALUE(MID(B486,E486+1,F486-E486-1))</f>
        <v>19</v>
      </c>
      <c r="J486">
        <f>VALUE(MID(B486,F486+1,4))</f>
        <v>30</v>
      </c>
    </row>
    <row r="487" spans="1:10" x14ac:dyDescent="0.25">
      <c r="A487" t="s">
        <v>391</v>
      </c>
      <c r="B487" t="s">
        <v>552</v>
      </c>
      <c r="C487" t="s">
        <v>544</v>
      </c>
      <c r="D487">
        <f>SEARCH(",",B487)</f>
        <v>2</v>
      </c>
      <c r="E487">
        <f>SEARCH(",",B487,D487+1)</f>
        <v>4</v>
      </c>
      <c r="F487">
        <f>SEARCH(",",B487,E487+1)</f>
        <v>7</v>
      </c>
      <c r="G487">
        <f>VALUE(MID(B487,1,D487-1))</f>
        <v>1</v>
      </c>
      <c r="H487">
        <f>VALUE(MID(B487,D487+1,E487-D487-1))</f>
        <v>1</v>
      </c>
      <c r="I487">
        <f>VALUE(MID(B487,E487+1,F487-E487-1))</f>
        <v>22</v>
      </c>
      <c r="J487">
        <f>VALUE(MID(B487,F487+1,4))</f>
        <v>22</v>
      </c>
    </row>
    <row r="488" spans="1:10" hidden="1" x14ac:dyDescent="0.25">
      <c r="A488" t="s">
        <v>486</v>
      </c>
      <c r="B488" t="s">
        <v>609</v>
      </c>
      <c r="C488" t="str">
        <f>IF(RIGHT(B488,5)="22,22","VIC20","")</f>
        <v/>
      </c>
      <c r="D488">
        <f>SEARCH(",",B488)</f>
        <v>2</v>
      </c>
      <c r="E488">
        <f>SEARCH(",",B488,D488+1)</f>
        <v>4</v>
      </c>
      <c r="F488">
        <f>SEARCH(",",B488,E488+1)</f>
        <v>7</v>
      </c>
      <c r="G488">
        <f>VALUE(MID(B488,1,D488-1))</f>
        <v>3</v>
      </c>
      <c r="H488">
        <f>VALUE(MID(B488,D488+1,E488-D488-1))</f>
        <v>1</v>
      </c>
      <c r="I488">
        <f>VALUE(MID(B488,E488+1,F488-E488-1))</f>
        <v>19</v>
      </c>
      <c r="J488">
        <f>VALUE(MID(B488,F488+1,4))</f>
        <v>30</v>
      </c>
    </row>
    <row r="489" spans="1:10" hidden="1" x14ac:dyDescent="0.25">
      <c r="A489" t="s">
        <v>487</v>
      </c>
      <c r="B489" t="s">
        <v>602</v>
      </c>
      <c r="C489" t="str">
        <f>IF(RIGHT(B489,5)="22,22","VIC20","")</f>
        <v/>
      </c>
      <c r="D489">
        <f>SEARCH(",",B489)</f>
        <v>2</v>
      </c>
      <c r="E489">
        <f>SEARCH(",",B489,D489+1)</f>
        <v>4</v>
      </c>
      <c r="F489">
        <f>SEARCH(",",B489,E489+1)</f>
        <v>7</v>
      </c>
      <c r="G489">
        <f>VALUE(MID(B489,1,D489-1))</f>
        <v>2</v>
      </c>
      <c r="H489">
        <f>VALUE(MID(B489,D489+1,E489-D489-1))</f>
        <v>1</v>
      </c>
      <c r="I489">
        <f>VALUE(MID(B489,E489+1,F489-E489-1))</f>
        <v>20</v>
      </c>
      <c r="J489">
        <f>VALUE(MID(B489,F489+1,4))</f>
        <v>30</v>
      </c>
    </row>
    <row r="490" spans="1:10" hidden="1" x14ac:dyDescent="0.25">
      <c r="A490" t="s">
        <v>488</v>
      </c>
      <c r="B490" t="s">
        <v>553</v>
      </c>
      <c r="C490" t="str">
        <f>IF(RIGHT(B490,5)="22,22","VIC20","")</f>
        <v/>
      </c>
      <c r="D490">
        <f>SEARCH(",",B490)</f>
        <v>2</v>
      </c>
      <c r="E490">
        <f>SEARCH(",",B490,D490+1)</f>
        <v>4</v>
      </c>
      <c r="F490">
        <f>SEARCH(",",B490,E490+1)</f>
        <v>7</v>
      </c>
      <c r="G490">
        <f>VALUE(MID(B490,1,D490-1))</f>
        <v>1</v>
      </c>
      <c r="H490">
        <f>VALUE(MID(B490,D490+1,E490-D490-1))</f>
        <v>1</v>
      </c>
      <c r="I490">
        <f>VALUE(MID(B490,E490+1,F490-E490-1))</f>
        <v>19</v>
      </c>
      <c r="J490">
        <f>VALUE(MID(B490,F490+1,4))</f>
        <v>30</v>
      </c>
    </row>
    <row r="491" spans="1:10" hidden="1" x14ac:dyDescent="0.25">
      <c r="A491" t="s">
        <v>489</v>
      </c>
      <c r="B491" t="s">
        <v>554</v>
      </c>
      <c r="C491" t="str">
        <f>IF(RIGHT(B491,5)="22,22","VIC20","")</f>
        <v/>
      </c>
      <c r="D491">
        <f>SEARCH(",",B491)</f>
        <v>2</v>
      </c>
      <c r="E491">
        <f>SEARCH(",",B491,D491+1)</f>
        <v>4</v>
      </c>
      <c r="F491">
        <f>SEARCH(",",B491,E491+1)</f>
        <v>7</v>
      </c>
      <c r="G491">
        <f>VALUE(MID(B491,1,D491-1))</f>
        <v>1</v>
      </c>
      <c r="H491">
        <f>VALUE(MID(B491,D491+1,E491-D491-1))</f>
        <v>1</v>
      </c>
      <c r="I491">
        <f>VALUE(MID(B491,E491+1,F491-E491-1))</f>
        <v>20</v>
      </c>
      <c r="J491">
        <f>VALUE(MID(B491,F491+1,4))</f>
        <v>30</v>
      </c>
    </row>
    <row r="492" spans="1:10" hidden="1" x14ac:dyDescent="0.25">
      <c r="A492" t="s">
        <v>490</v>
      </c>
      <c r="B492" t="s">
        <v>613</v>
      </c>
      <c r="C492" t="str">
        <f>IF(RIGHT(B492,5)="22,22","VIC20","")</f>
        <v/>
      </c>
      <c r="D492">
        <f>SEARCH(",",B492)</f>
        <v>2</v>
      </c>
      <c r="E492">
        <f>SEARCH(",",B492,D492+1)</f>
        <v>4</v>
      </c>
      <c r="F492">
        <f>SEARCH(",",B492,E492+1)</f>
        <v>7</v>
      </c>
      <c r="G492">
        <f>VALUE(MID(B492,1,D492-1))</f>
        <v>3</v>
      </c>
      <c r="H492">
        <f>VALUE(MID(B492,D492+1,E492-D492-1))</f>
        <v>2</v>
      </c>
      <c r="I492">
        <f>VALUE(MID(B492,E492+1,F492-E492-1))</f>
        <v>17</v>
      </c>
      <c r="J492">
        <f>VALUE(MID(B492,F492+1,4))</f>
        <v>28</v>
      </c>
    </row>
    <row r="493" spans="1:10" hidden="1" x14ac:dyDescent="0.25">
      <c r="A493" t="s">
        <v>491</v>
      </c>
      <c r="B493" t="s">
        <v>661</v>
      </c>
      <c r="C493" t="str">
        <f>IF(RIGHT(B493,5)="22,22","VIC20","")</f>
        <v/>
      </c>
      <c r="D493">
        <f>SEARCH(",",B493)</f>
        <v>2</v>
      </c>
      <c r="E493">
        <f>SEARCH(",",B493,D493+1)</f>
        <v>4</v>
      </c>
      <c r="F493">
        <f>SEARCH(",",B493,E493+1)</f>
        <v>7</v>
      </c>
      <c r="G493">
        <f>VALUE(MID(B493,1,D493-1))</f>
        <v>1</v>
      </c>
      <c r="H493">
        <f>VALUE(MID(B493,D493+1,E493-D493-1))</f>
        <v>1</v>
      </c>
      <c r="I493">
        <f>VALUE(MID(B493,E493+1,F493-E493-1))</f>
        <v>15</v>
      </c>
      <c r="J493">
        <f>VALUE(MID(B493,F493+1,4))</f>
        <v>30</v>
      </c>
    </row>
    <row r="494" spans="1:10" hidden="1" x14ac:dyDescent="0.25">
      <c r="A494" t="s">
        <v>492</v>
      </c>
      <c r="B494" t="s">
        <v>546</v>
      </c>
      <c r="C494" t="str">
        <f>IF(RIGHT(B494,5)="22,22","VIC20","")</f>
        <v/>
      </c>
      <c r="D494">
        <f>SEARCH(",",B494)</f>
        <v>2</v>
      </c>
      <c r="E494">
        <f>SEARCH(",",B494,D494+1)</f>
        <v>4</v>
      </c>
      <c r="F494">
        <f>SEARCH(",",B494,E494+1)</f>
        <v>7</v>
      </c>
      <c r="G494">
        <f>VALUE(MID(B494,1,D494-1))</f>
        <v>1</v>
      </c>
      <c r="H494">
        <f>VALUE(MID(B494,D494+1,E494-D494-1))</f>
        <v>0</v>
      </c>
      <c r="I494">
        <f>VALUE(MID(B494,E494+1,F494-E494-1))</f>
        <v>23</v>
      </c>
      <c r="J494">
        <f>VALUE(MID(B494,F494+1,4))</f>
        <v>32</v>
      </c>
    </row>
    <row r="495" spans="1:10" hidden="1" x14ac:dyDescent="0.25">
      <c r="A495" t="s">
        <v>493</v>
      </c>
      <c r="B495" t="s">
        <v>554</v>
      </c>
      <c r="C495" t="str">
        <f>IF(RIGHT(B495,5)="22,22","VIC20","")</f>
        <v/>
      </c>
      <c r="D495">
        <f>SEARCH(",",B495)</f>
        <v>2</v>
      </c>
      <c r="E495">
        <f>SEARCH(",",B495,D495+1)</f>
        <v>4</v>
      </c>
      <c r="F495">
        <f>SEARCH(",",B495,E495+1)</f>
        <v>7</v>
      </c>
      <c r="G495">
        <f>VALUE(MID(B495,1,D495-1))</f>
        <v>1</v>
      </c>
      <c r="H495">
        <f>VALUE(MID(B495,D495+1,E495-D495-1))</f>
        <v>1</v>
      </c>
      <c r="I495">
        <f>VALUE(MID(B495,E495+1,F495-E495-1))</f>
        <v>20</v>
      </c>
      <c r="J495">
        <f>VALUE(MID(B495,F495+1,4))</f>
        <v>30</v>
      </c>
    </row>
    <row r="496" spans="1:10" hidden="1" x14ac:dyDescent="0.25">
      <c r="A496" t="s">
        <v>494</v>
      </c>
      <c r="B496" t="s">
        <v>554</v>
      </c>
      <c r="C496" t="str">
        <f>IF(RIGHT(B496,5)="22,22","VIC20","")</f>
        <v/>
      </c>
      <c r="D496">
        <f>SEARCH(",",B496)</f>
        <v>2</v>
      </c>
      <c r="E496">
        <f>SEARCH(",",B496,D496+1)</f>
        <v>4</v>
      </c>
      <c r="F496">
        <f>SEARCH(",",B496,E496+1)</f>
        <v>7</v>
      </c>
      <c r="G496">
        <f>VALUE(MID(B496,1,D496-1))</f>
        <v>1</v>
      </c>
      <c r="H496">
        <f>VALUE(MID(B496,D496+1,E496-D496-1))</f>
        <v>1</v>
      </c>
      <c r="I496">
        <f>VALUE(MID(B496,E496+1,F496-E496-1))</f>
        <v>20</v>
      </c>
      <c r="J496">
        <f>VALUE(MID(B496,F496+1,4))</f>
        <v>30</v>
      </c>
    </row>
    <row r="497" spans="1:10" hidden="1" x14ac:dyDescent="0.25">
      <c r="A497" t="s">
        <v>495</v>
      </c>
      <c r="B497" t="s">
        <v>574</v>
      </c>
      <c r="C497" t="str">
        <f>IF(RIGHT(B497,5)="22,22","VIC20","")</f>
        <v/>
      </c>
      <c r="D497">
        <f>SEARCH(",",B497)</f>
        <v>2</v>
      </c>
      <c r="E497">
        <f>SEARCH(",",B497,D497+1)</f>
        <v>4</v>
      </c>
      <c r="F497">
        <f>SEARCH(",",B497,E497+1)</f>
        <v>7</v>
      </c>
      <c r="G497">
        <f>VALUE(MID(B497,1,D497-1))</f>
        <v>2</v>
      </c>
      <c r="H497">
        <f>VALUE(MID(B497,D497+1,E497-D497-1))</f>
        <v>0</v>
      </c>
      <c r="I497">
        <f>VALUE(MID(B497,E497+1,F497-E497-1))</f>
        <v>20</v>
      </c>
      <c r="J497">
        <f>VALUE(MID(B497,F497+1,4))</f>
        <v>32</v>
      </c>
    </row>
    <row r="498" spans="1:10" hidden="1" x14ac:dyDescent="0.25">
      <c r="A498" t="s">
        <v>496</v>
      </c>
      <c r="B498" t="s">
        <v>594</v>
      </c>
      <c r="C498" t="str">
        <f>IF(RIGHT(B498,5)="22,22","VIC20","")</f>
        <v/>
      </c>
      <c r="D498">
        <f>SEARCH(",",B498)</f>
        <v>2</v>
      </c>
      <c r="E498">
        <f>SEARCH(",",B498,D498+1)</f>
        <v>4</v>
      </c>
      <c r="F498">
        <f>SEARCH(",",B498,E498+1)</f>
        <v>7</v>
      </c>
      <c r="G498">
        <f>VALUE(MID(B498,1,D498-1))</f>
        <v>1</v>
      </c>
      <c r="H498">
        <f>VALUE(MID(B498,D498+1,E498-D498-1))</f>
        <v>1</v>
      </c>
      <c r="I498">
        <f>VALUE(MID(B498,E498+1,F498-E498-1))</f>
        <v>21</v>
      </c>
      <c r="J498">
        <f>VALUE(MID(B498,F498+1,4))</f>
        <v>30</v>
      </c>
    </row>
    <row r="499" spans="1:10" hidden="1" x14ac:dyDescent="0.25">
      <c r="A499" t="s">
        <v>497</v>
      </c>
      <c r="B499" t="s">
        <v>546</v>
      </c>
      <c r="C499" t="str">
        <f>IF(RIGHT(B499,5)="22,22","VIC20","")</f>
        <v/>
      </c>
      <c r="D499">
        <f>SEARCH(",",B499)</f>
        <v>2</v>
      </c>
      <c r="E499">
        <f>SEARCH(",",B499,D499+1)</f>
        <v>4</v>
      </c>
      <c r="F499">
        <f>SEARCH(",",B499,E499+1)</f>
        <v>7</v>
      </c>
      <c r="G499">
        <f>VALUE(MID(B499,1,D499-1))</f>
        <v>1</v>
      </c>
      <c r="H499">
        <f>VALUE(MID(B499,D499+1,E499-D499-1))</f>
        <v>0</v>
      </c>
      <c r="I499">
        <f>VALUE(MID(B499,E499+1,F499-E499-1))</f>
        <v>23</v>
      </c>
      <c r="J499">
        <f>VALUE(MID(B499,F499+1,4))</f>
        <v>32</v>
      </c>
    </row>
    <row r="500" spans="1:10" x14ac:dyDescent="0.25">
      <c r="A500" t="s">
        <v>466</v>
      </c>
      <c r="B500" t="s">
        <v>552</v>
      </c>
      <c r="C500" t="s">
        <v>544</v>
      </c>
      <c r="D500">
        <f>SEARCH(",",B500)</f>
        <v>2</v>
      </c>
      <c r="E500">
        <f>SEARCH(",",B500,D500+1)</f>
        <v>4</v>
      </c>
      <c r="F500">
        <f>SEARCH(",",B500,E500+1)</f>
        <v>7</v>
      </c>
      <c r="G500">
        <f>VALUE(MID(B500,1,D500-1))</f>
        <v>1</v>
      </c>
      <c r="H500">
        <f>VALUE(MID(B500,D500+1,E500-D500-1))</f>
        <v>1</v>
      </c>
      <c r="I500">
        <f>VALUE(MID(B500,E500+1,F500-E500-1))</f>
        <v>22</v>
      </c>
      <c r="J500">
        <f>VALUE(MID(B500,F500+1,4))</f>
        <v>22</v>
      </c>
    </row>
    <row r="501" spans="1:10" x14ac:dyDescent="0.25">
      <c r="A501" t="s">
        <v>386</v>
      </c>
      <c r="B501" t="s">
        <v>552</v>
      </c>
      <c r="C501" t="s">
        <v>544</v>
      </c>
      <c r="D501">
        <f>SEARCH(",",B501)</f>
        <v>2</v>
      </c>
      <c r="E501">
        <f>SEARCH(",",B501,D501+1)</f>
        <v>4</v>
      </c>
      <c r="F501">
        <f>SEARCH(",",B501,E501+1)</f>
        <v>7</v>
      </c>
      <c r="G501">
        <f>VALUE(MID(B501,1,D501-1))</f>
        <v>1</v>
      </c>
      <c r="H501">
        <f>VALUE(MID(B501,D501+1,E501-D501-1))</f>
        <v>1</v>
      </c>
      <c r="I501">
        <f>VALUE(MID(B501,E501+1,F501-E501-1))</f>
        <v>22</v>
      </c>
      <c r="J501">
        <f>VALUE(MID(B501,F501+1,4))</f>
        <v>22</v>
      </c>
    </row>
    <row r="502" spans="1:10" hidden="1" x14ac:dyDescent="0.25">
      <c r="A502" t="s">
        <v>500</v>
      </c>
      <c r="B502" t="s">
        <v>607</v>
      </c>
      <c r="C502" t="str">
        <f>IF(RIGHT(B502,5)="22,22","VIC20","")</f>
        <v/>
      </c>
      <c r="D502">
        <f>SEARCH(",",B502)</f>
        <v>2</v>
      </c>
      <c r="E502">
        <f>SEARCH(",",B502,D502+1)</f>
        <v>4</v>
      </c>
      <c r="F502">
        <f>SEARCH(",",B502,E502+1)</f>
        <v>7</v>
      </c>
      <c r="G502">
        <f>VALUE(MID(B502,1,D502-1))</f>
        <v>0</v>
      </c>
      <c r="H502">
        <f>VALUE(MID(B502,D502+1,E502-D502-1))</f>
        <v>0</v>
      </c>
      <c r="I502">
        <f>VALUE(MID(B502,E502+1,F502-E502-1))</f>
        <v>23</v>
      </c>
      <c r="J502">
        <f>VALUE(MID(B502,F502+1,4))</f>
        <v>22</v>
      </c>
    </row>
    <row r="503" spans="1:10" hidden="1" x14ac:dyDescent="0.25">
      <c r="A503" t="s">
        <v>501</v>
      </c>
      <c r="B503" t="s">
        <v>607</v>
      </c>
      <c r="C503" t="str">
        <f>IF(RIGHT(B503,5)="22,22","VIC20","")</f>
        <v/>
      </c>
      <c r="D503">
        <f>SEARCH(",",B503)</f>
        <v>2</v>
      </c>
      <c r="E503">
        <f>SEARCH(",",B503,D503+1)</f>
        <v>4</v>
      </c>
      <c r="F503">
        <f>SEARCH(",",B503,E503+1)</f>
        <v>7</v>
      </c>
      <c r="G503">
        <f>VALUE(MID(B503,1,D503-1))</f>
        <v>0</v>
      </c>
      <c r="H503">
        <f>VALUE(MID(B503,D503+1,E503-D503-1))</f>
        <v>0</v>
      </c>
      <c r="I503">
        <f>VALUE(MID(B503,E503+1,F503-E503-1))</f>
        <v>23</v>
      </c>
      <c r="J503">
        <f>VALUE(MID(B503,F503+1,4))</f>
        <v>22</v>
      </c>
    </row>
    <row r="504" spans="1:10" hidden="1" x14ac:dyDescent="0.25">
      <c r="A504" t="s">
        <v>502</v>
      </c>
      <c r="B504" t="s">
        <v>662</v>
      </c>
      <c r="C504" t="str">
        <f>IF(RIGHT(B504,5)="22,22","VIC20","")</f>
        <v/>
      </c>
      <c r="D504">
        <f>SEARCH(",",B504)</f>
        <v>2</v>
      </c>
      <c r="E504">
        <f>SEARCH(",",B504,D504+1)</f>
        <v>4</v>
      </c>
      <c r="F504">
        <f>SEARCH(",",B504,E504+1)</f>
        <v>7</v>
      </c>
      <c r="G504">
        <f>VALUE(MID(B504,1,D504-1))</f>
        <v>1</v>
      </c>
      <c r="H504">
        <f>VALUE(MID(B504,D504+1,E504-D504-1))</f>
        <v>0</v>
      </c>
      <c r="I504">
        <f>VALUE(MID(B504,E504+1,F504-E504-1))</f>
        <v>23</v>
      </c>
      <c r="J504">
        <f>VALUE(MID(B504,F504+1,4))</f>
        <v>23</v>
      </c>
    </row>
    <row r="505" spans="1:10" hidden="1" x14ac:dyDescent="0.25">
      <c r="A505" t="s">
        <v>503</v>
      </c>
      <c r="B505" t="s">
        <v>546</v>
      </c>
      <c r="C505" t="str">
        <f>IF(RIGHT(B505,5)="22,22","VIC20","")</f>
        <v/>
      </c>
      <c r="D505">
        <f>SEARCH(",",B505)</f>
        <v>2</v>
      </c>
      <c r="E505">
        <f>SEARCH(",",B505,D505+1)</f>
        <v>4</v>
      </c>
      <c r="F505">
        <f>SEARCH(",",B505,E505+1)</f>
        <v>7</v>
      </c>
      <c r="G505">
        <f>VALUE(MID(B505,1,D505-1))</f>
        <v>1</v>
      </c>
      <c r="H505">
        <f>VALUE(MID(B505,D505+1,E505-D505-1))</f>
        <v>0</v>
      </c>
      <c r="I505">
        <f>VALUE(MID(B505,E505+1,F505-E505-1))</f>
        <v>23</v>
      </c>
      <c r="J505">
        <f>VALUE(MID(B505,F505+1,4))</f>
        <v>32</v>
      </c>
    </row>
    <row r="506" spans="1:10" hidden="1" x14ac:dyDescent="0.25">
      <c r="A506" t="s">
        <v>504</v>
      </c>
      <c r="B506" t="s">
        <v>558</v>
      </c>
      <c r="C506" t="str">
        <f>IF(RIGHT(B506,5)="22,22","VIC20","")</f>
        <v/>
      </c>
      <c r="D506">
        <f>SEARCH(",",B506)</f>
        <v>2</v>
      </c>
      <c r="E506">
        <f>SEARCH(",",B506,D506+1)</f>
        <v>4</v>
      </c>
      <c r="F506">
        <f>SEARCH(",",B506,E506+1)</f>
        <v>7</v>
      </c>
      <c r="G506">
        <f>VALUE(MID(B506,1,D506-1))</f>
        <v>0</v>
      </c>
      <c r="H506">
        <f>VALUE(MID(B506,D506+1,E506-D506-1))</f>
        <v>0</v>
      </c>
      <c r="I506">
        <f>VALUE(MID(B506,E506+1,F506-E506-1))</f>
        <v>23</v>
      </c>
      <c r="J506">
        <f>VALUE(MID(B506,F506+1,4))</f>
        <v>32</v>
      </c>
    </row>
    <row r="507" spans="1:10" hidden="1" x14ac:dyDescent="0.25">
      <c r="A507" t="s">
        <v>505</v>
      </c>
      <c r="B507" t="s">
        <v>554</v>
      </c>
      <c r="C507" t="str">
        <f>IF(RIGHT(B507,5)="22,22","VIC20","")</f>
        <v/>
      </c>
      <c r="D507">
        <f>SEARCH(",",B507)</f>
        <v>2</v>
      </c>
      <c r="E507">
        <f>SEARCH(",",B507,D507+1)</f>
        <v>4</v>
      </c>
      <c r="F507">
        <f>SEARCH(",",B507,E507+1)</f>
        <v>7</v>
      </c>
      <c r="G507">
        <f>VALUE(MID(B507,1,D507-1))</f>
        <v>1</v>
      </c>
      <c r="H507">
        <f>VALUE(MID(B507,D507+1,E507-D507-1))</f>
        <v>1</v>
      </c>
      <c r="I507">
        <f>VALUE(MID(B507,E507+1,F507-E507-1))</f>
        <v>20</v>
      </c>
      <c r="J507">
        <f>VALUE(MID(B507,F507+1,4))</f>
        <v>30</v>
      </c>
    </row>
    <row r="508" spans="1:10" hidden="1" x14ac:dyDescent="0.25">
      <c r="A508" t="s">
        <v>506</v>
      </c>
      <c r="B508" t="s">
        <v>554</v>
      </c>
      <c r="C508" t="str">
        <f>IF(RIGHT(B508,5)="22,22","VIC20","")</f>
        <v/>
      </c>
      <c r="D508">
        <f>SEARCH(",",B508)</f>
        <v>2</v>
      </c>
      <c r="E508">
        <f>SEARCH(",",B508,D508+1)</f>
        <v>4</v>
      </c>
      <c r="F508">
        <f>SEARCH(",",B508,E508+1)</f>
        <v>7</v>
      </c>
      <c r="G508">
        <f>VALUE(MID(B508,1,D508-1))</f>
        <v>1</v>
      </c>
      <c r="H508">
        <f>VALUE(MID(B508,D508+1,E508-D508-1))</f>
        <v>1</v>
      </c>
      <c r="I508">
        <f>VALUE(MID(B508,E508+1,F508-E508-1))</f>
        <v>20</v>
      </c>
      <c r="J508">
        <f>VALUE(MID(B508,F508+1,4))</f>
        <v>30</v>
      </c>
    </row>
    <row r="509" spans="1:10" x14ac:dyDescent="0.25">
      <c r="A509" t="s">
        <v>478</v>
      </c>
      <c r="B509" t="s">
        <v>552</v>
      </c>
      <c r="C509" t="s">
        <v>544</v>
      </c>
      <c r="D509">
        <f>SEARCH(",",B509)</f>
        <v>2</v>
      </c>
      <c r="E509">
        <f>SEARCH(",",B509,D509+1)</f>
        <v>4</v>
      </c>
      <c r="F509">
        <f>SEARCH(",",B509,E509+1)</f>
        <v>7</v>
      </c>
      <c r="G509">
        <f>VALUE(MID(B509,1,D509-1))</f>
        <v>1</v>
      </c>
      <c r="H509">
        <f>VALUE(MID(B509,D509+1,E509-D509-1))</f>
        <v>1</v>
      </c>
      <c r="I509">
        <f>VALUE(MID(B509,E509+1,F509-E509-1))</f>
        <v>22</v>
      </c>
      <c r="J509">
        <f>VALUE(MID(B509,F509+1,4))</f>
        <v>22</v>
      </c>
    </row>
    <row r="510" spans="1:10" hidden="1" x14ac:dyDescent="0.25">
      <c r="A510" t="s">
        <v>508</v>
      </c>
      <c r="B510" t="s">
        <v>563</v>
      </c>
      <c r="C510" t="str">
        <f>IF(RIGHT(B510,5)="22,22","VIC20","")</f>
        <v/>
      </c>
      <c r="D510">
        <f>SEARCH(",",B510)</f>
        <v>2</v>
      </c>
      <c r="E510">
        <f>SEARCH(",",B510,D510+1)</f>
        <v>4</v>
      </c>
      <c r="F510">
        <f>SEARCH(",",B510,E510+1)</f>
        <v>7</v>
      </c>
      <c r="G510">
        <f>VALUE(MID(B510,1,D510-1))</f>
        <v>2</v>
      </c>
      <c r="H510">
        <f>VALUE(MID(B510,D510+1,E510-D510-1))</f>
        <v>0</v>
      </c>
      <c r="I510">
        <f>VALUE(MID(B510,E510+1,F510-E510-1))</f>
        <v>22</v>
      </c>
      <c r="J510">
        <f>VALUE(MID(B510,F510+1,4))</f>
        <v>32</v>
      </c>
    </row>
    <row r="511" spans="1:10" x14ac:dyDescent="0.25">
      <c r="A511" t="s">
        <v>401</v>
      </c>
      <c r="B511" t="s">
        <v>651</v>
      </c>
      <c r="C511" t="s">
        <v>544</v>
      </c>
      <c r="D511">
        <f>SEARCH(",",B511)</f>
        <v>2</v>
      </c>
      <c r="E511">
        <f>SEARCH(",",B511,D511+1)</f>
        <v>5</v>
      </c>
      <c r="F511">
        <f>SEARCH(",",B511,E511+1)</f>
        <v>8</v>
      </c>
      <c r="G511">
        <f>VALUE(MID(B511,1,D511-1))</f>
        <v>7</v>
      </c>
      <c r="H511">
        <f>VALUE(MID(B511,D511+1,E511-D511-1))</f>
        <v>11</v>
      </c>
      <c r="I511">
        <f>VALUE(MID(B511,E511+1,F511-E511-1))</f>
        <v>10</v>
      </c>
      <c r="J511">
        <f>VALUE(MID(B511,F511+1,4))</f>
        <v>10</v>
      </c>
    </row>
    <row r="512" spans="1:10" hidden="1" x14ac:dyDescent="0.25">
      <c r="A512" t="s">
        <v>510</v>
      </c>
      <c r="B512" t="s">
        <v>663</v>
      </c>
      <c r="C512" t="str">
        <f>IF(RIGHT(B512,5)="22,22","VIC20","")</f>
        <v/>
      </c>
      <c r="D512">
        <f>SEARCH(",",B512)</f>
        <v>2</v>
      </c>
      <c r="E512">
        <f>SEARCH(",",B512,D512+1)</f>
        <v>4</v>
      </c>
      <c r="F512">
        <f>SEARCH(",",B512,E512+1)</f>
        <v>7</v>
      </c>
      <c r="G512">
        <f>VALUE(MID(B512,1,D512-1))</f>
        <v>1</v>
      </c>
      <c r="H512">
        <f>VALUE(MID(B512,D512+1,E512-D512-1))</f>
        <v>0</v>
      </c>
      <c r="I512">
        <f>VALUE(MID(B512,E512+1,F512-E512-1))</f>
        <v>23</v>
      </c>
      <c r="J512">
        <f>VALUE(MID(B512,F512+1,4))</f>
        <v>26</v>
      </c>
    </row>
    <row r="513" spans="1:10" hidden="1" x14ac:dyDescent="0.25">
      <c r="A513" t="s">
        <v>511</v>
      </c>
      <c r="B513" t="s">
        <v>558</v>
      </c>
      <c r="C513" t="str">
        <f>IF(RIGHT(B513,5)="22,22","VIC20","")</f>
        <v/>
      </c>
      <c r="D513">
        <f>SEARCH(",",B513)</f>
        <v>2</v>
      </c>
      <c r="E513">
        <f>SEARCH(",",B513,D513+1)</f>
        <v>4</v>
      </c>
      <c r="F513">
        <f>SEARCH(",",B513,E513+1)</f>
        <v>7</v>
      </c>
      <c r="G513">
        <f>VALUE(MID(B513,1,D513-1))</f>
        <v>0</v>
      </c>
      <c r="H513">
        <f>VALUE(MID(B513,D513+1,E513-D513-1))</f>
        <v>0</v>
      </c>
      <c r="I513">
        <f>VALUE(MID(B513,E513+1,F513-E513-1))</f>
        <v>23</v>
      </c>
      <c r="J513">
        <f>VALUE(MID(B513,F513+1,4))</f>
        <v>32</v>
      </c>
    </row>
    <row r="514" spans="1:10" x14ac:dyDescent="0.25">
      <c r="A514" t="s">
        <v>509</v>
      </c>
      <c r="B514" t="s">
        <v>552</v>
      </c>
      <c r="C514" t="s">
        <v>544</v>
      </c>
      <c r="D514">
        <f>SEARCH(",",B514)</f>
        <v>2</v>
      </c>
      <c r="E514">
        <f>SEARCH(",",B514,D514+1)</f>
        <v>4</v>
      </c>
      <c r="F514">
        <f>SEARCH(",",B514,E514+1)</f>
        <v>7</v>
      </c>
      <c r="G514">
        <f>VALUE(MID(B514,1,D514-1))</f>
        <v>1</v>
      </c>
      <c r="H514">
        <f>VALUE(MID(B514,D514+1,E514-D514-1))</f>
        <v>1</v>
      </c>
      <c r="I514">
        <f>VALUE(MID(B514,E514+1,F514-E514-1))</f>
        <v>22</v>
      </c>
      <c r="J514">
        <f>VALUE(MID(B514,F514+1,4))</f>
        <v>22</v>
      </c>
    </row>
    <row r="515" spans="1:10" hidden="1" x14ac:dyDescent="0.25">
      <c r="A515" t="s">
        <v>513</v>
      </c>
      <c r="B515" t="s">
        <v>554</v>
      </c>
      <c r="C515" t="str">
        <f>IF(RIGHT(B515,5)="22,22","VIC20","")</f>
        <v/>
      </c>
      <c r="D515">
        <f>SEARCH(",",B515)</f>
        <v>2</v>
      </c>
      <c r="E515">
        <f>SEARCH(",",B515,D515+1)</f>
        <v>4</v>
      </c>
      <c r="F515">
        <f>SEARCH(",",B515,E515+1)</f>
        <v>7</v>
      </c>
      <c r="G515">
        <f>VALUE(MID(B515,1,D515-1))</f>
        <v>1</v>
      </c>
      <c r="H515">
        <f>VALUE(MID(B515,D515+1,E515-D515-1))</f>
        <v>1</v>
      </c>
      <c r="I515">
        <f>VALUE(MID(B515,E515+1,F515-E515-1))</f>
        <v>20</v>
      </c>
      <c r="J515">
        <f>VALUE(MID(B515,F515+1,4))</f>
        <v>30</v>
      </c>
    </row>
    <row r="516" spans="1:10" hidden="1" x14ac:dyDescent="0.25">
      <c r="A516" t="s">
        <v>514</v>
      </c>
      <c r="B516" t="s">
        <v>551</v>
      </c>
      <c r="C516" t="str">
        <f>IF(RIGHT(B516,5)="22,22","VIC20","")</f>
        <v/>
      </c>
      <c r="D516">
        <f>SEARCH(",",B516)</f>
        <v>2</v>
      </c>
      <c r="E516">
        <f>SEARCH(",",B516,D516+1)</f>
        <v>4</v>
      </c>
      <c r="F516">
        <f>SEARCH(",",B516,E516+1)</f>
        <v>7</v>
      </c>
      <c r="G516">
        <f>VALUE(MID(B516,1,D516-1))</f>
        <v>1</v>
      </c>
      <c r="H516">
        <f>VALUE(MID(B516,D516+1,E516-D516-1))</f>
        <v>0</v>
      </c>
      <c r="I516">
        <f>VALUE(MID(B516,E516+1,F516-E516-1))</f>
        <v>22</v>
      </c>
      <c r="J516">
        <f>VALUE(MID(B516,F516+1,4))</f>
        <v>32</v>
      </c>
    </row>
    <row r="517" spans="1:10" x14ac:dyDescent="0.25">
      <c r="A517" t="s">
        <v>21</v>
      </c>
      <c r="B517" t="s">
        <v>559</v>
      </c>
      <c r="C517" t="s">
        <v>544</v>
      </c>
      <c r="D517">
        <f>SEARCH(",",B517)</f>
        <v>2</v>
      </c>
      <c r="E517">
        <f>SEARCH(",",B517,D517+1)</f>
        <v>4</v>
      </c>
      <c r="F517">
        <f>SEARCH(",",B517,E517+1)</f>
        <v>7</v>
      </c>
      <c r="G517">
        <f>VALUE(MID(B517,1,D517-1))</f>
        <v>3</v>
      </c>
      <c r="H517">
        <f>VALUE(MID(B517,D517+1,E517-D517-1))</f>
        <v>8</v>
      </c>
      <c r="I517">
        <f>VALUE(MID(B517,E517+1,F517-E517-1))</f>
        <v>18</v>
      </c>
      <c r="J517">
        <f>VALUE(MID(B517,F517+1,4))</f>
        <v>15</v>
      </c>
    </row>
    <row r="518" spans="1:10" hidden="1" x14ac:dyDescent="0.25">
      <c r="A518" t="s">
        <v>516</v>
      </c>
      <c r="B518" t="s">
        <v>546</v>
      </c>
      <c r="C518" t="str">
        <f>IF(RIGHT(B518,5)="22,22","VIC20","")</f>
        <v/>
      </c>
      <c r="D518">
        <f>SEARCH(",",B518)</f>
        <v>2</v>
      </c>
      <c r="E518">
        <f>SEARCH(",",B518,D518+1)</f>
        <v>4</v>
      </c>
      <c r="F518">
        <f>SEARCH(",",B518,E518+1)</f>
        <v>7</v>
      </c>
      <c r="G518">
        <f>VALUE(MID(B518,1,D518-1))</f>
        <v>1</v>
      </c>
      <c r="H518">
        <f>VALUE(MID(B518,D518+1,E518-D518-1))</f>
        <v>0</v>
      </c>
      <c r="I518">
        <f>VALUE(MID(B518,E518+1,F518-E518-1))</f>
        <v>23</v>
      </c>
      <c r="J518">
        <f>VALUE(MID(B518,F518+1,4))</f>
        <v>32</v>
      </c>
    </row>
    <row r="519" spans="1:10" hidden="1" x14ac:dyDescent="0.25">
      <c r="A519" t="s">
        <v>517</v>
      </c>
      <c r="B519" t="s">
        <v>557</v>
      </c>
      <c r="C519" t="str">
        <f>IF(RIGHT(B519,5)="22,22","VIC20","")</f>
        <v/>
      </c>
      <c r="D519">
        <f>SEARCH(",",B519)</f>
        <v>2</v>
      </c>
      <c r="E519">
        <f>SEARCH(",",B519,D519+1)</f>
        <v>4</v>
      </c>
      <c r="F519">
        <f>SEARCH(",",B519,E519+1)</f>
        <v>7</v>
      </c>
      <c r="G519">
        <f>VALUE(MID(B519,1,D519-1))</f>
        <v>3</v>
      </c>
      <c r="H519">
        <f>VALUE(MID(B519,D519+1,E519-D519-1))</f>
        <v>1</v>
      </c>
      <c r="I519">
        <f>VALUE(MID(B519,E519+1,F519-E519-1))</f>
        <v>20</v>
      </c>
      <c r="J519">
        <f>VALUE(MID(B519,F519+1,4))</f>
        <v>30</v>
      </c>
    </row>
    <row r="520" spans="1:10" hidden="1" x14ac:dyDescent="0.25">
      <c r="A520" t="s">
        <v>518</v>
      </c>
      <c r="B520" t="s">
        <v>571</v>
      </c>
      <c r="C520" t="str">
        <f>IF(RIGHT(B520,5)="22,22","VIC20","")</f>
        <v/>
      </c>
      <c r="D520">
        <f>SEARCH(",",B520)</f>
        <v>2</v>
      </c>
      <c r="E520">
        <f>SEARCH(",",B520,D520+1)</f>
        <v>4</v>
      </c>
      <c r="F520">
        <f>SEARCH(",",B520,E520+1)</f>
        <v>7</v>
      </c>
      <c r="G520">
        <f>VALUE(MID(B520,1,D520-1))</f>
        <v>0</v>
      </c>
      <c r="H520">
        <f>VALUE(MID(B520,D520+1,E520-D520-1))</f>
        <v>1</v>
      </c>
      <c r="I520">
        <f>VALUE(MID(B520,E520+1,F520-E520-1))</f>
        <v>21</v>
      </c>
      <c r="J520">
        <f>VALUE(MID(B520,F520+1,4))</f>
        <v>30</v>
      </c>
    </row>
    <row r="521" spans="1:10" hidden="1" x14ac:dyDescent="0.25">
      <c r="A521" t="s">
        <v>519</v>
      </c>
      <c r="B521" t="s">
        <v>548</v>
      </c>
      <c r="C521" t="str">
        <f>IF(RIGHT(B521,5)="22,22","VIC20","")</f>
        <v/>
      </c>
      <c r="D521">
        <f>SEARCH(",",B521)</f>
        <v>2</v>
      </c>
      <c r="E521">
        <f>SEARCH(",",B521,D521+1)</f>
        <v>4</v>
      </c>
      <c r="F521">
        <f>SEARCH(",",B521,E521+1)</f>
        <v>7</v>
      </c>
      <c r="G521">
        <f>VALUE(MID(B521,1,D521-1))</f>
        <v>1</v>
      </c>
      <c r="H521">
        <f>VALUE(MID(B521,D521+1,E521-D521-1))</f>
        <v>1</v>
      </c>
      <c r="I521">
        <f>VALUE(MID(B521,E521+1,F521-E521-1))</f>
        <v>22</v>
      </c>
      <c r="J521">
        <f>VALUE(MID(B521,F521+1,4))</f>
        <v>30</v>
      </c>
    </row>
    <row r="522" spans="1:10" hidden="1" x14ac:dyDescent="0.25">
      <c r="A522" t="s">
        <v>520</v>
      </c>
      <c r="B522" t="s">
        <v>622</v>
      </c>
      <c r="C522" t="str">
        <f>IF(RIGHT(B522,5)="22,22","VIC20","")</f>
        <v/>
      </c>
      <c r="D522">
        <f>SEARCH(",",B522)</f>
        <v>2</v>
      </c>
      <c r="E522">
        <f>SEARCH(",",B522,D522+1)</f>
        <v>4</v>
      </c>
      <c r="F522">
        <f>SEARCH(",",B522,E522+1)</f>
        <v>7</v>
      </c>
      <c r="G522">
        <f>VALUE(MID(B522,1,D522-1))</f>
        <v>0</v>
      </c>
      <c r="H522">
        <f>VALUE(MID(B522,D522+1,E522-D522-1))</f>
        <v>0</v>
      </c>
      <c r="I522">
        <f>VALUE(MID(B522,E522+1,F522-E522-1))</f>
        <v>22</v>
      </c>
      <c r="J522">
        <f>VALUE(MID(B522,F522+1,4))</f>
        <v>32</v>
      </c>
    </row>
    <row r="523" spans="1:10" x14ac:dyDescent="0.25">
      <c r="A523" t="s">
        <v>421</v>
      </c>
      <c r="B523" t="s">
        <v>552</v>
      </c>
      <c r="C523" t="s">
        <v>544</v>
      </c>
      <c r="D523">
        <f>SEARCH(",",B523)</f>
        <v>2</v>
      </c>
      <c r="E523">
        <f>SEARCH(",",B523,D523+1)</f>
        <v>4</v>
      </c>
      <c r="F523">
        <f>SEARCH(",",B523,E523+1)</f>
        <v>7</v>
      </c>
      <c r="G523">
        <f>VALUE(MID(B523,1,D523-1))</f>
        <v>1</v>
      </c>
      <c r="H523">
        <f>VALUE(MID(B523,D523+1,E523-D523-1))</f>
        <v>1</v>
      </c>
      <c r="I523">
        <f>VALUE(MID(B523,E523+1,F523-E523-1))</f>
        <v>22</v>
      </c>
      <c r="J523">
        <f>VALUE(MID(B523,F523+1,4))</f>
        <v>22</v>
      </c>
    </row>
    <row r="524" spans="1:10" hidden="1" x14ac:dyDescent="0.25">
      <c r="A524" t="s">
        <v>522</v>
      </c>
      <c r="B524" t="s">
        <v>551</v>
      </c>
      <c r="C524" t="str">
        <f>IF(RIGHT(B524,5)="22,22","VIC20","")</f>
        <v/>
      </c>
      <c r="D524">
        <f>SEARCH(",",B524)</f>
        <v>2</v>
      </c>
      <c r="E524">
        <f>SEARCH(",",B524,D524+1)</f>
        <v>4</v>
      </c>
      <c r="F524">
        <f>SEARCH(",",B524,E524+1)</f>
        <v>7</v>
      </c>
      <c r="G524">
        <f>VALUE(MID(B524,1,D524-1))</f>
        <v>1</v>
      </c>
      <c r="H524">
        <f>VALUE(MID(B524,D524+1,E524-D524-1))</f>
        <v>0</v>
      </c>
      <c r="I524">
        <f>VALUE(MID(B524,E524+1,F524-E524-1))</f>
        <v>22</v>
      </c>
      <c r="J524">
        <f>VALUE(MID(B524,F524+1,4))</f>
        <v>32</v>
      </c>
    </row>
    <row r="525" spans="1:10" hidden="1" x14ac:dyDescent="0.25">
      <c r="A525" t="s">
        <v>523</v>
      </c>
      <c r="B525" t="s">
        <v>548</v>
      </c>
      <c r="C525" t="str">
        <f>IF(RIGHT(B525,5)="22,22","VIC20","")</f>
        <v/>
      </c>
      <c r="D525">
        <f>SEARCH(",",B525)</f>
        <v>2</v>
      </c>
      <c r="E525">
        <f>SEARCH(",",B525,D525+1)</f>
        <v>4</v>
      </c>
      <c r="F525">
        <f>SEARCH(",",B525,E525+1)</f>
        <v>7</v>
      </c>
      <c r="G525">
        <f>VALUE(MID(B525,1,D525-1))</f>
        <v>1</v>
      </c>
      <c r="H525">
        <f>VALUE(MID(B525,D525+1,E525-D525-1))</f>
        <v>1</v>
      </c>
      <c r="I525">
        <f>VALUE(MID(B525,E525+1,F525-E525-1))</f>
        <v>22</v>
      </c>
      <c r="J525">
        <f>VALUE(MID(B525,F525+1,4))</f>
        <v>30</v>
      </c>
    </row>
    <row r="526" spans="1:10" hidden="1" x14ac:dyDescent="0.25">
      <c r="A526" t="s">
        <v>524</v>
      </c>
      <c r="B526" t="s">
        <v>548</v>
      </c>
      <c r="C526" t="str">
        <f>IF(RIGHT(B526,5)="22,22","VIC20","")</f>
        <v/>
      </c>
      <c r="D526">
        <f>SEARCH(",",B526)</f>
        <v>2</v>
      </c>
      <c r="E526">
        <f>SEARCH(",",B526,D526+1)</f>
        <v>4</v>
      </c>
      <c r="F526">
        <f>SEARCH(",",B526,E526+1)</f>
        <v>7</v>
      </c>
      <c r="G526">
        <f>VALUE(MID(B526,1,D526-1))</f>
        <v>1</v>
      </c>
      <c r="H526">
        <f>VALUE(MID(B526,D526+1,E526-D526-1))</f>
        <v>1</v>
      </c>
      <c r="I526">
        <f>VALUE(MID(B526,E526+1,F526-E526-1))</f>
        <v>22</v>
      </c>
      <c r="J526">
        <f>VALUE(MID(B526,F526+1,4))</f>
        <v>30</v>
      </c>
    </row>
    <row r="527" spans="1:10" hidden="1" x14ac:dyDescent="0.25">
      <c r="A527" t="s">
        <v>525</v>
      </c>
      <c r="B527" t="s">
        <v>547</v>
      </c>
      <c r="C527" t="str">
        <f>IF(RIGHT(B527,5)="22,22","VIC20","")</f>
        <v/>
      </c>
      <c r="D527">
        <f>SEARCH(",",B527)</f>
        <v>2</v>
      </c>
      <c r="E527">
        <f>SEARCH(",",B527,D527+1)</f>
        <v>4</v>
      </c>
      <c r="F527">
        <f>SEARCH(",",B527,E527+1)</f>
        <v>7</v>
      </c>
      <c r="G527">
        <f>VALUE(MID(B527,1,D527-1))</f>
        <v>1</v>
      </c>
      <c r="H527">
        <f>VALUE(MID(B527,D527+1,E527-D527-1))</f>
        <v>1</v>
      </c>
      <c r="I527">
        <f>VALUE(MID(B527,E527+1,F527-E527-1))</f>
        <v>18</v>
      </c>
      <c r="J527">
        <f>VALUE(MID(B527,F527+1,4))</f>
        <v>30</v>
      </c>
    </row>
    <row r="528" spans="1:10" hidden="1" x14ac:dyDescent="0.25">
      <c r="A528" t="s">
        <v>526</v>
      </c>
      <c r="B528" t="s">
        <v>558</v>
      </c>
      <c r="C528" t="str">
        <f>IF(RIGHT(B528,5)="22,22","VIC20","")</f>
        <v/>
      </c>
      <c r="D528">
        <f>SEARCH(",",B528)</f>
        <v>2</v>
      </c>
      <c r="E528">
        <f>SEARCH(",",B528,D528+1)</f>
        <v>4</v>
      </c>
      <c r="F528">
        <f>SEARCH(",",B528,E528+1)</f>
        <v>7</v>
      </c>
      <c r="G528">
        <f>VALUE(MID(B528,1,D528-1))</f>
        <v>0</v>
      </c>
      <c r="H528">
        <f>VALUE(MID(B528,D528+1,E528-D528-1))</f>
        <v>0</v>
      </c>
      <c r="I528">
        <f>VALUE(MID(B528,E528+1,F528-E528-1))</f>
        <v>23</v>
      </c>
      <c r="J528">
        <f>VALUE(MID(B528,F528+1,4))</f>
        <v>32</v>
      </c>
    </row>
    <row r="529" spans="1:10" hidden="1" x14ac:dyDescent="0.25">
      <c r="A529" t="s">
        <v>527</v>
      </c>
      <c r="B529" t="s">
        <v>666</v>
      </c>
      <c r="C529" t="str">
        <f>IF(RIGHT(B529,5)="22,22","VIC20","")</f>
        <v/>
      </c>
      <c r="D529">
        <f>SEARCH(",",B529)</f>
        <v>2</v>
      </c>
      <c r="E529">
        <f>SEARCH(",",B529,D529+1)</f>
        <v>4</v>
      </c>
      <c r="F529">
        <f>SEARCH(",",B529,E529+1)</f>
        <v>7</v>
      </c>
      <c r="G529">
        <f>VALUE(MID(B529,1,D529-1))</f>
        <v>3</v>
      </c>
      <c r="H529">
        <f>VALUE(MID(B529,D529+1,E529-D529-1))</f>
        <v>1</v>
      </c>
      <c r="I529">
        <f>VALUE(MID(B529,E529+1,F529-E529-1))</f>
        <v>19</v>
      </c>
      <c r="J529">
        <f>VALUE(MID(B529,F529+1,4))</f>
        <v>29</v>
      </c>
    </row>
    <row r="530" spans="1:10" hidden="1" x14ac:dyDescent="0.25">
      <c r="A530" t="s">
        <v>528</v>
      </c>
      <c r="B530" t="s">
        <v>667</v>
      </c>
      <c r="C530" t="str">
        <f>IF(RIGHT(B530,5)="22,22","VIC20","")</f>
        <v/>
      </c>
      <c r="D530">
        <f>SEARCH(",",B530)</f>
        <v>2</v>
      </c>
      <c r="E530">
        <f>SEARCH(",",B530,D530+1)</f>
        <v>4</v>
      </c>
      <c r="F530">
        <f>SEARCH(",",B530,E530+1)</f>
        <v>7</v>
      </c>
      <c r="G530">
        <f>VALUE(MID(B530,1,D530-1))</f>
        <v>1</v>
      </c>
      <c r="H530">
        <f>VALUE(MID(B530,D530+1,E530-D530-1))</f>
        <v>0</v>
      </c>
      <c r="I530">
        <f>VALUE(MID(B530,E530+1,F530-E530-1))</f>
        <v>19</v>
      </c>
      <c r="J530">
        <f>VALUE(MID(B530,F530+1,4))</f>
        <v>32</v>
      </c>
    </row>
    <row r="531" spans="1:10" x14ac:dyDescent="0.25">
      <c r="A531" t="s">
        <v>340</v>
      </c>
      <c r="B531" t="s">
        <v>552</v>
      </c>
      <c r="C531" t="s">
        <v>544</v>
      </c>
      <c r="D531">
        <f>SEARCH(",",B531)</f>
        <v>2</v>
      </c>
      <c r="E531">
        <f>SEARCH(",",B531,D531+1)</f>
        <v>4</v>
      </c>
      <c r="F531">
        <f>SEARCH(",",B531,E531+1)</f>
        <v>7</v>
      </c>
      <c r="G531">
        <f>VALUE(MID(B531,1,D531-1))</f>
        <v>1</v>
      </c>
      <c r="H531">
        <f>VALUE(MID(B531,D531+1,E531-D531-1))</f>
        <v>1</v>
      </c>
      <c r="I531">
        <f>VALUE(MID(B531,E531+1,F531-E531-1))</f>
        <v>22</v>
      </c>
      <c r="J531">
        <f>VALUE(MID(B531,F531+1,4))</f>
        <v>22</v>
      </c>
    </row>
    <row r="532" spans="1:10" hidden="1" x14ac:dyDescent="0.25">
      <c r="A532" t="s">
        <v>530</v>
      </c>
      <c r="B532" t="s">
        <v>554</v>
      </c>
      <c r="C532" t="str">
        <f>IF(RIGHT(B532,5)="22,22","VIC20","")</f>
        <v/>
      </c>
      <c r="D532">
        <f>SEARCH(",",B532)</f>
        <v>2</v>
      </c>
      <c r="E532">
        <f>SEARCH(",",B532,D532+1)</f>
        <v>4</v>
      </c>
      <c r="F532">
        <f>SEARCH(",",B532,E532+1)</f>
        <v>7</v>
      </c>
      <c r="G532">
        <f>VALUE(MID(B532,1,D532-1))</f>
        <v>1</v>
      </c>
      <c r="H532">
        <f>VALUE(MID(B532,D532+1,E532-D532-1))</f>
        <v>1</v>
      </c>
      <c r="I532">
        <f>VALUE(MID(B532,E532+1,F532-E532-1))</f>
        <v>20</v>
      </c>
      <c r="J532">
        <f>VALUE(MID(B532,F532+1,4))</f>
        <v>30</v>
      </c>
    </row>
    <row r="533" spans="1:10" hidden="1" x14ac:dyDescent="0.25">
      <c r="A533" t="s">
        <v>531</v>
      </c>
      <c r="B533" t="s">
        <v>598</v>
      </c>
      <c r="C533" t="str">
        <f>IF(RIGHT(B533,5)="22,22","VIC20","")</f>
        <v/>
      </c>
      <c r="D533">
        <f>SEARCH(",",B533)</f>
        <v>2</v>
      </c>
      <c r="E533">
        <f>SEARCH(",",B533,D533+1)</f>
        <v>4</v>
      </c>
      <c r="F533">
        <f>SEARCH(",",B533,E533+1)</f>
        <v>7</v>
      </c>
      <c r="G533">
        <f>VALUE(MID(B533,1,D533-1))</f>
        <v>0</v>
      </c>
      <c r="H533">
        <f>VALUE(MID(B533,D533+1,E533-D533-1))</f>
        <v>0</v>
      </c>
      <c r="I533">
        <f>VALUE(MID(B533,E533+1,F533-E533-1))</f>
        <v>24</v>
      </c>
      <c r="J533">
        <f>VALUE(MID(B533,F533+1,4))</f>
        <v>32</v>
      </c>
    </row>
    <row r="534" spans="1:10" hidden="1" x14ac:dyDescent="0.25">
      <c r="A534" t="s">
        <v>532</v>
      </c>
      <c r="B534" t="s">
        <v>598</v>
      </c>
      <c r="C534" t="str">
        <f>IF(RIGHT(B534,5)="22,22","VIC20","")</f>
        <v/>
      </c>
      <c r="D534">
        <f>SEARCH(",",B534)</f>
        <v>2</v>
      </c>
      <c r="E534">
        <f>SEARCH(",",B534,D534+1)</f>
        <v>4</v>
      </c>
      <c r="F534">
        <f>SEARCH(",",B534,E534+1)</f>
        <v>7</v>
      </c>
      <c r="G534">
        <f>VALUE(MID(B534,1,D534-1))</f>
        <v>0</v>
      </c>
      <c r="H534">
        <f>VALUE(MID(B534,D534+1,E534-D534-1))</f>
        <v>0</v>
      </c>
      <c r="I534">
        <f>VALUE(MID(B534,E534+1,F534-E534-1))</f>
        <v>24</v>
      </c>
      <c r="J534">
        <f>VALUE(MID(B534,F534+1,4))</f>
        <v>32</v>
      </c>
    </row>
    <row r="535" spans="1:10" hidden="1" x14ac:dyDescent="0.25">
      <c r="A535" t="s">
        <v>533</v>
      </c>
      <c r="B535" t="s">
        <v>612</v>
      </c>
      <c r="C535" t="str">
        <f>IF(RIGHT(B535,5)="22,22","VIC20","")</f>
        <v/>
      </c>
      <c r="D535">
        <f>SEARCH(",",B535)</f>
        <v>2</v>
      </c>
      <c r="E535">
        <f>SEARCH(",",B535,D535+1)</f>
        <v>4</v>
      </c>
      <c r="F535">
        <f>SEARCH(",",B535,E535+1)</f>
        <v>6</v>
      </c>
      <c r="G535">
        <f>VALUE(MID(B535,1,D535-1))</f>
        <v>1</v>
      </c>
      <c r="H535">
        <f>VALUE(MID(B535,D535+1,E535-D535-1))</f>
        <v>0</v>
      </c>
      <c r="I535">
        <f>VALUE(MID(B535,E535+1,F535-E535-1))</f>
        <v>7</v>
      </c>
      <c r="J535">
        <f>VALUE(MID(B535,F535+1,4))</f>
        <v>32</v>
      </c>
    </row>
    <row r="536" spans="1:10" hidden="1" x14ac:dyDescent="0.25">
      <c r="A536" t="s">
        <v>534</v>
      </c>
      <c r="B536" t="s">
        <v>587</v>
      </c>
      <c r="C536" t="str">
        <f>IF(RIGHT(B536,5)="22,22","VIC20","")</f>
        <v/>
      </c>
      <c r="D536">
        <f>SEARCH(",",B536)</f>
        <v>2</v>
      </c>
      <c r="E536">
        <f>SEARCH(",",B536,D536+1)</f>
        <v>4</v>
      </c>
      <c r="F536">
        <f>SEARCH(",",B536,E536+1)</f>
        <v>7</v>
      </c>
      <c r="G536">
        <f>VALUE(MID(B536,1,D536-1))</f>
        <v>6</v>
      </c>
      <c r="H536">
        <f>VALUE(MID(B536,D536+1,E536-D536-1))</f>
        <v>1</v>
      </c>
      <c r="I536">
        <f>VALUE(MID(B536,E536+1,F536-E536-1))</f>
        <v>17</v>
      </c>
      <c r="J536">
        <f>VALUE(MID(B536,F536+1,4))</f>
        <v>30</v>
      </c>
    </row>
    <row r="537" spans="1:10" x14ac:dyDescent="0.25">
      <c r="A537" t="s">
        <v>432</v>
      </c>
      <c r="B537" t="s">
        <v>655</v>
      </c>
      <c r="C537" t="s">
        <v>544</v>
      </c>
      <c r="D537">
        <f>SEARCH(",",B537)</f>
        <v>2</v>
      </c>
      <c r="E537">
        <f>SEARCH(",",B537,D537+1)</f>
        <v>4</v>
      </c>
      <c r="F537">
        <f>SEARCH(",",B537,E537+1)</f>
        <v>7</v>
      </c>
      <c r="G537">
        <f>VALUE(MID(B537,1,D537-1))</f>
        <v>2</v>
      </c>
      <c r="H537">
        <f>VALUE(MID(B537,D537+1,E537-D537-1))</f>
        <v>2</v>
      </c>
      <c r="I537">
        <f>VALUE(MID(B537,E537+1,F537-E537-1))</f>
        <v>20</v>
      </c>
      <c r="J537">
        <f>VALUE(MID(B537,F537+1,4))</f>
        <v>21</v>
      </c>
    </row>
    <row r="538" spans="1:10" x14ac:dyDescent="0.25">
      <c r="A538" t="s">
        <v>204</v>
      </c>
      <c r="B538" t="s">
        <v>552</v>
      </c>
      <c r="C538" t="s">
        <v>544</v>
      </c>
      <c r="D538">
        <f>SEARCH(",",B538)</f>
        <v>2</v>
      </c>
      <c r="E538">
        <f>SEARCH(",",B538,D538+1)</f>
        <v>4</v>
      </c>
      <c r="F538">
        <f>SEARCH(",",B538,E538+1)</f>
        <v>7</v>
      </c>
      <c r="G538">
        <f>VALUE(MID(B538,1,D538-1))</f>
        <v>1</v>
      </c>
      <c r="H538">
        <f>VALUE(MID(B538,D538+1,E538-D538-1))</f>
        <v>1</v>
      </c>
      <c r="I538">
        <f>VALUE(MID(B538,E538+1,F538-E538-1))</f>
        <v>22</v>
      </c>
      <c r="J538">
        <f>VALUE(MID(B538,F538+1,4))</f>
        <v>22</v>
      </c>
    </row>
    <row r="539" spans="1:10" x14ac:dyDescent="0.25">
      <c r="A539" t="s">
        <v>529</v>
      </c>
      <c r="B539" t="s">
        <v>552</v>
      </c>
      <c r="C539" t="s">
        <v>544</v>
      </c>
      <c r="D539">
        <f>SEARCH(",",B539)</f>
        <v>2</v>
      </c>
      <c r="E539">
        <f>SEARCH(",",B539,D539+1)</f>
        <v>4</v>
      </c>
      <c r="F539">
        <f>SEARCH(",",B539,E539+1)</f>
        <v>7</v>
      </c>
      <c r="G539">
        <f>VALUE(MID(B539,1,D539-1))</f>
        <v>1</v>
      </c>
      <c r="H539">
        <f>VALUE(MID(B539,D539+1,E539-D539-1))</f>
        <v>1</v>
      </c>
      <c r="I539">
        <f>VALUE(MID(B539,E539+1,F539-E539-1))</f>
        <v>22</v>
      </c>
      <c r="J539">
        <f>VALUE(MID(B539,F539+1,4))</f>
        <v>22</v>
      </c>
    </row>
    <row r="540" spans="1:10" hidden="1" x14ac:dyDescent="0.25">
      <c r="A540" t="s">
        <v>538</v>
      </c>
      <c r="B540" t="s">
        <v>554</v>
      </c>
      <c r="C540" t="str">
        <f>IF(RIGHT(B540,5)="22,22","VIC20","")</f>
        <v/>
      </c>
      <c r="D540">
        <f>SEARCH(",",B540)</f>
        <v>2</v>
      </c>
      <c r="E540">
        <f>SEARCH(",",B540,D540+1)</f>
        <v>4</v>
      </c>
      <c r="F540">
        <f>SEARCH(",",B540,E540+1)</f>
        <v>7</v>
      </c>
      <c r="G540">
        <f>VALUE(MID(B540,1,D540-1))</f>
        <v>1</v>
      </c>
      <c r="H540">
        <f>VALUE(MID(B540,D540+1,E540-D540-1))</f>
        <v>1</v>
      </c>
      <c r="I540">
        <f>VALUE(MID(B540,E540+1,F540-E540-1))</f>
        <v>20</v>
      </c>
      <c r="J540">
        <f>VALUE(MID(B540,F540+1,4))</f>
        <v>30</v>
      </c>
    </row>
    <row r="541" spans="1:10" hidden="1" x14ac:dyDescent="0.25">
      <c r="A541" t="s">
        <v>539</v>
      </c>
      <c r="B541" t="s">
        <v>669</v>
      </c>
      <c r="C541" t="str">
        <f>IF(RIGHT(B541,5)="22,22","VIC20","")</f>
        <v/>
      </c>
      <c r="D541">
        <f>SEARCH(",",B541)</f>
        <v>2</v>
      </c>
      <c r="E541">
        <f>SEARCH(",",B541,D541+1)</f>
        <v>4</v>
      </c>
      <c r="F541">
        <f>SEARCH(",",B541,E541+1)</f>
        <v>7</v>
      </c>
      <c r="G541">
        <f>VALUE(MID(B541,1,D541-1))</f>
        <v>1</v>
      </c>
      <c r="H541">
        <f>VALUE(MID(B541,D541+1,E541-D541-1))</f>
        <v>1</v>
      </c>
      <c r="I541">
        <f>VALUE(MID(B541,E541+1,F541-E541-1))</f>
        <v>20</v>
      </c>
      <c r="J541">
        <f>VALUE(MID(B541,F541+1,4))</f>
        <v>32</v>
      </c>
    </row>
    <row r="542" spans="1:10" x14ac:dyDescent="0.25">
      <c r="A542" t="s">
        <v>438</v>
      </c>
      <c r="B542" t="s">
        <v>552</v>
      </c>
      <c r="C542" t="s">
        <v>544</v>
      </c>
      <c r="D542">
        <f>SEARCH(",",B542)</f>
        <v>2</v>
      </c>
      <c r="E542">
        <f>SEARCH(",",B542,D542+1)</f>
        <v>4</v>
      </c>
      <c r="F542">
        <f>SEARCH(",",B542,E542+1)</f>
        <v>7</v>
      </c>
      <c r="G542">
        <f>VALUE(MID(B542,1,D542-1))</f>
        <v>1</v>
      </c>
      <c r="H542">
        <f>VALUE(MID(B542,D542+1,E542-D542-1))</f>
        <v>1</v>
      </c>
      <c r="I542">
        <f>VALUE(MID(B542,E542+1,F542-E542-1))</f>
        <v>22</v>
      </c>
      <c r="J542">
        <f>VALUE(MID(B542,F542+1,4))</f>
        <v>22</v>
      </c>
    </row>
    <row r="543" spans="1:10" hidden="1" x14ac:dyDescent="0.25">
      <c r="A543" t="s">
        <v>541</v>
      </c>
      <c r="B543" t="s">
        <v>547</v>
      </c>
      <c r="C543" t="str">
        <f t="shared" ref="C505:C543" si="8">IF(RIGHT(B543,5)="22,22","VIC20","")</f>
        <v/>
      </c>
      <c r="D543">
        <f t="shared" ref="D519:D543" si="9">SEARCH(",",B543)</f>
        <v>2</v>
      </c>
      <c r="E543">
        <f t="shared" ref="E519:E543" si="10">SEARCH(",",B543,D543+1)</f>
        <v>4</v>
      </c>
      <c r="F543">
        <f t="shared" ref="F519:F543" si="11">SEARCH(",",B543,E543+1)</f>
        <v>7</v>
      </c>
      <c r="G543">
        <f t="shared" ref="G519:G543" si="12">VALUE(MID(B543,1,D543-1))</f>
        <v>1</v>
      </c>
      <c r="H543">
        <f t="shared" ref="H519:H543" si="13">VALUE(MID(B543,D543+1,E543-D543-1))</f>
        <v>1</v>
      </c>
      <c r="I543">
        <f t="shared" ref="I519:I543" si="14">VALUE(MID(B543,E543+1,F543-E543-1))</f>
        <v>18</v>
      </c>
      <c r="J543">
        <f t="shared" ref="J519:J543" si="15">VALUE(MID(B543,F543+1,4))</f>
        <v>30</v>
      </c>
    </row>
  </sheetData>
  <autoFilter ref="A1:J543">
    <filterColumn colId="8">
      <filters>
        <filter val="0"/>
        <filter val="10"/>
        <filter val="12"/>
        <filter val="13"/>
        <filter val="14"/>
        <filter val="15"/>
        <filter val="16"/>
        <filter val="17"/>
        <filter val="18"/>
        <filter val="19"/>
        <filter val="20"/>
        <filter val="21"/>
        <filter val="22"/>
        <filter val="6"/>
        <filter val="7"/>
        <filter val="8"/>
        <filter val="9"/>
      </filters>
    </filterColumn>
    <filterColumn colId="9">
      <filters>
        <filter val="0"/>
        <filter val="10"/>
        <filter val="15"/>
        <filter val="19"/>
        <filter val="20"/>
        <filter val="21"/>
        <filter val="22"/>
        <filter val="8"/>
      </filters>
    </filterColumn>
    <sortState ref="A7:J542">
      <sortCondition ref="A2:A543"/>
    </sortState>
  </autoFilter>
  <pageMargins left="0.70866141732283472" right="0.70866141732283472" top="0.74803149606299213" bottom="0.74803149606299213" header="0.31496062992125984" footer="0.31496062992125984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2</vt:i4>
      </vt:variant>
    </vt:vector>
  </HeadingPairs>
  <TitlesOfParts>
    <vt:vector size="5" baseType="lpstr">
      <vt:lpstr>Blad1</vt:lpstr>
      <vt:lpstr>Blad2</vt:lpstr>
      <vt:lpstr>Blad3</vt:lpstr>
      <vt:lpstr>Blad1!Afdruktitels</vt:lpstr>
      <vt:lpstr>Blad1!gamewindowlist</vt:lpstr>
    </vt:vector>
  </TitlesOfParts>
  <Company>Vinny27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2024-10-28T22:04:50Z</cp:lastPrinted>
  <dcterms:created xsi:type="dcterms:W3CDTF">2024-10-28T21:32:35Z</dcterms:created>
  <dcterms:modified xsi:type="dcterms:W3CDTF">2024-11-13T20:46:04Z</dcterms:modified>
</cp:coreProperties>
</file>